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idgre\Videos\Programming\Visually Effective Excel Dashboard\Regional\"/>
    </mc:Choice>
  </mc:AlternateContent>
  <xr:revisionPtr revIDLastSave="0" documentId="13_ncr:1_{5F21FE3F-D65B-401D-86CA-4A8988B04598}" xr6:coauthVersionLast="47" xr6:coauthVersionMax="47" xr10:uidLastSave="{00000000-0000-0000-0000-000000000000}"/>
  <bookViews>
    <workbookView xWindow="2304" yWindow="2304" windowWidth="17280" windowHeight="8880" xr2:uid="{9A493E61-35A0-4B8B-ABEA-DD48F66C1585}"/>
  </bookViews>
  <sheets>
    <sheet name="Dashboard" sheetId="1" r:id="rId1"/>
    <sheet name="Data" sheetId="2" r:id="rId2"/>
    <sheet name="Calculation" sheetId="3" r:id="rId3"/>
  </sheets>
  <definedNames>
    <definedName name="Game">Calculation!$B$28</definedName>
    <definedName name="logo">INDIRECT(Calculation!$A$5)</definedName>
    <definedName name="Productivity">Calculation!$B$27</definedName>
    <definedName name="Slicer_Division">#N/A</definedName>
    <definedName name="Slicer_Region">#N/A</definedName>
    <definedName name="Utility">Calculation!$B$26</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6" i="3" l="1"/>
  <c r="I4" i="3" l="1"/>
  <c r="C6" i="1"/>
  <c r="E5" i="3"/>
  <c r="E6" i="3"/>
  <c r="E7" i="3"/>
  <c r="E8" i="3"/>
  <c r="E4" i="3"/>
  <c r="J21" i="3"/>
  <c r="J19" i="3"/>
  <c r="J20" i="3"/>
  <c r="M19" i="3" l="1"/>
  <c r="M21" i="3"/>
  <c r="K20" i="3"/>
  <c r="K21" i="3"/>
  <c r="K19" i="3"/>
  <c r="L19" i="3" s="1"/>
  <c r="N19" i="3" s="1"/>
  <c r="M20" i="3"/>
  <c r="J5" i="3"/>
  <c r="I7" i="3" s="1"/>
  <c r="I5" i="3"/>
  <c r="I6" i="3" s="1"/>
  <c r="E9" i="3"/>
  <c r="F9" i="3" s="1"/>
  <c r="F5" i="3"/>
  <c r="G5" i="3"/>
  <c r="F8" i="3"/>
  <c r="F6" i="3"/>
  <c r="G8" i="3"/>
  <c r="G7" i="3"/>
  <c r="F4" i="3"/>
  <c r="G6" i="3"/>
  <c r="F7" i="3"/>
  <c r="G4" i="3"/>
  <c r="L21" i="3" l="1"/>
  <c r="N21" i="3" s="1"/>
  <c r="L20" i="3"/>
  <c r="N20" i="3" s="1"/>
</calcChain>
</file>

<file path=xl/sharedStrings.xml><?xml version="1.0" encoding="utf-8"?>
<sst xmlns="http://schemas.openxmlformats.org/spreadsheetml/2006/main" count="135" uniqueCount="31">
  <si>
    <t>Division</t>
  </si>
  <si>
    <t>Region</t>
  </si>
  <si>
    <t>Revenue</t>
  </si>
  <si>
    <t>North America</t>
  </si>
  <si>
    <t>South America</t>
  </si>
  <si>
    <t>Asia</t>
  </si>
  <si>
    <t>Europe</t>
  </si>
  <si>
    <t>Australia</t>
  </si>
  <si>
    <t>Year</t>
  </si>
  <si>
    <t>Current</t>
  </si>
  <si>
    <t>PY</t>
  </si>
  <si>
    <t>Selected Information</t>
  </si>
  <si>
    <t>Game</t>
  </si>
  <si>
    <t>Utility</t>
  </si>
  <si>
    <t>Productivity</t>
  </si>
  <si>
    <t>For Header Text</t>
  </si>
  <si>
    <t>Select Logo</t>
  </si>
  <si>
    <t>Data Table by Region for Chart</t>
  </si>
  <si>
    <t>Row Labels</t>
  </si>
  <si>
    <t>Max</t>
  </si>
  <si>
    <t>Average</t>
  </si>
  <si>
    <t>`</t>
  </si>
  <si>
    <t>Revenue by Region by Year</t>
  </si>
  <si>
    <t xml:space="preserve"> Revenue</t>
  </si>
  <si>
    <t>% ▲ PY</t>
  </si>
  <si>
    <t xml:space="preserve"> Total</t>
  </si>
  <si>
    <t xml:space="preserve"> </t>
  </si>
  <si>
    <t xml:space="preserve"> Stack 1 </t>
  </si>
  <si>
    <t xml:space="preserve"> Stack 2</t>
  </si>
  <si>
    <t xml:space="preserve"> Stack 3</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</si>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</sst>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quot;$&quot;* #,##0.00_-;\-&quot;$&quot;* #,##0.00_-;_-&quot;$&quot;* &quot;-&quot;??_-;_-@_-"/>
    <numFmt numFmtId="165" formatCode="_-* #,##0.00_-;\-* #,##0.00_-;_-* &quot;-&quot;??_-;_-@_-"/>
    <numFmt numFmtId="166" formatCode="_-* #,##0_-;\-* #,##0_-;_-* &quot;-&quot;??_-;_-@_-"/>
    <numFmt numFmtId="167" formatCode="_-&quot;$&quot;* #,##0_-;\-&quot;$&quot;* #,##0_-;_-&quot;$&quot;* &quot;-&quot;??_-;_-@_-"/>
    <numFmt numFmtId="168" formatCode="0.0%"/>
  </numFmts>
  <fonts count="8" x14ac:knownFonts="1">
    <font>
      <sz val="11"/>
      <color theme="1"/>
      <name val="Calibri"/>
      <family val="2"/>
      <scheme val="minor"/>
    </font>
    <font>
      <b/>
      <sz val="11"/>
      <color theme="1" tint="4.9989318521683403E-2"/>
      <name val="Calibri"/>
      <family val="2"/>
      <scheme val="minor"/>
    </font>
    <font>
      <b/>
      <sz val="11"/>
      <color theme="0"/>
      <name val="Calibri"/>
      <family val="2"/>
      <scheme val="minor"/>
    </font>
    <font>
      <sz val="11"/>
      <color theme="1"/>
      <name val="Calibri"/>
      <family val="2"/>
      <scheme val="minor"/>
    </font>
    <font>
      <b/>
      <sz val="11"/>
      <color theme="7"/>
      <name val="Calibri"/>
      <family val="2"/>
      <scheme val="minor"/>
    </font>
    <font>
      <sz val="11"/>
      <color theme="1"/>
      <name val="Times New Roman"/>
      <family val="1"/>
    </font>
    <font>
      <sz val="8"/>
      <color theme="1"/>
      <name val="Calibri"/>
      <family val="2"/>
      <scheme val="minor"/>
    </font>
    <font>
      <sz val="8"/>
      <name val="Calibri"/>
      <family val="2"/>
      <scheme val="minor"/>
    </font>
  </fonts>
  <fills count="8">
    <fill>
      <patternFill patternType="none"/>
    </fill>
    <fill>
      <patternFill patternType="gray125"/>
    </fill>
    <fill>
      <patternFill patternType="solid">
        <fgColor rgb="FF638EC6"/>
        <bgColor indexed="64"/>
      </patternFill>
    </fill>
    <fill>
      <patternFill patternType="solid">
        <fgColor theme="8" tint="0.39997558519241921"/>
        <bgColor indexed="64"/>
      </patternFill>
    </fill>
    <fill>
      <patternFill patternType="solid">
        <fgColor theme="8" tint="-0.499984740745262"/>
        <bgColor indexed="64"/>
      </patternFill>
    </fill>
    <fill>
      <patternFill patternType="solid">
        <fgColor rgb="FFF3F3F3"/>
        <bgColor indexed="64"/>
      </patternFill>
    </fill>
    <fill>
      <patternFill patternType="solid">
        <fgColor theme="0" tint="-4.9989318521683403E-2"/>
        <bgColor rgb="FFF3F3F3"/>
      </patternFill>
    </fill>
    <fill>
      <patternFill patternType="solid">
        <fgColor theme="0" tint="-4.9989318521683403E-2"/>
        <bgColor indexed="64"/>
      </patternFill>
    </fill>
  </fills>
  <borders count="3">
    <border>
      <left/>
      <right/>
      <top/>
      <bottom/>
      <diagonal/>
    </border>
    <border>
      <left/>
      <right/>
      <top/>
      <bottom style="thin">
        <color indexed="64"/>
      </bottom>
      <diagonal/>
    </border>
    <border>
      <left/>
      <right/>
      <top style="thin">
        <color indexed="64"/>
      </top>
      <bottom/>
      <diagonal/>
    </border>
  </borders>
  <cellStyleXfs count="3">
    <xf numFmtId="0" fontId="0" fillId="0" borderId="0"/>
    <xf numFmtId="165" fontId="3" fillId="0" borderId="0" applyFont="0" applyFill="0" applyBorder="0" applyAlignment="0" applyProtection="0"/>
    <xf numFmtId="164" fontId="3" fillId="0" borderId="0" applyFont="0" applyFill="0" applyBorder="0" applyAlignment="0" applyProtection="0"/>
  </cellStyleXfs>
  <cellXfs count="29">
    <xf numFmtId="0" fontId="0" fillId="0" borderId="0" xfId="0"/>
    <xf numFmtId="0" fontId="1" fillId="2" borderId="0" xfId="0" applyFont="1" applyFill="1"/>
    <xf numFmtId="0" fontId="0" fillId="2" borderId="0" xfId="0" applyFill="1"/>
    <xf numFmtId="0" fontId="2" fillId="3" borderId="0" xfId="0" applyFont="1" applyFill="1"/>
    <xf numFmtId="0" fontId="0" fillId="0" borderId="0" xfId="0" pivotButton="1"/>
    <xf numFmtId="0" fontId="0" fillId="0" borderId="0" xfId="0" applyAlignment="1">
      <alignment horizontal="left"/>
    </xf>
    <xf numFmtId="166" fontId="0" fillId="0" borderId="0" xfId="1" applyNumberFormat="1" applyFont="1"/>
    <xf numFmtId="166" fontId="0" fillId="0" borderId="0" xfId="0" applyNumberFormat="1"/>
    <xf numFmtId="0" fontId="0" fillId="0" borderId="1" xfId="0" applyBorder="1"/>
    <xf numFmtId="0" fontId="0" fillId="4" borderId="0" xfId="0" applyFill="1"/>
    <xf numFmtId="0" fontId="4" fillId="4" borderId="0" xfId="0" applyFont="1" applyFill="1"/>
    <xf numFmtId="167" fontId="0" fillId="0" borderId="2" xfId="2" applyNumberFormat="1" applyFont="1" applyBorder="1"/>
    <xf numFmtId="167" fontId="0" fillId="0" borderId="0" xfId="0" applyNumberFormat="1"/>
    <xf numFmtId="0" fontId="5" fillId="0" borderId="0" xfId="0" applyFont="1"/>
    <xf numFmtId="10" fontId="0" fillId="0" borderId="0" xfId="0" applyNumberFormat="1" applyFont="1"/>
    <xf numFmtId="0" fontId="0" fillId="0" borderId="0" xfId="0" applyFont="1"/>
    <xf numFmtId="0" fontId="0" fillId="0" borderId="0" xfId="0" applyFont="1" applyAlignment="1">
      <alignment horizontal="center"/>
    </xf>
    <xf numFmtId="0" fontId="0" fillId="0" borderId="0" xfId="0" applyFont="1" applyAlignment="1">
      <alignment horizontal="left"/>
    </xf>
    <xf numFmtId="168" fontId="0" fillId="0" borderId="0" xfId="0" applyNumberFormat="1" applyFont="1" applyAlignment="1">
      <alignment horizontal="right"/>
    </xf>
    <xf numFmtId="10" fontId="6" fillId="0" borderId="0" xfId="0" applyNumberFormat="1" applyFont="1" applyAlignment="1">
      <alignment horizontal="center"/>
    </xf>
    <xf numFmtId="0" fontId="0" fillId="5" borderId="0" xfId="0" applyFont="1" applyFill="1" applyAlignment="1">
      <alignment horizontal="center"/>
    </xf>
    <xf numFmtId="0" fontId="0" fillId="6" borderId="0" xfId="0" applyFont="1" applyFill="1" applyAlignment="1"/>
    <xf numFmtId="166" fontId="0" fillId="6" borderId="0" xfId="0" applyNumberFormat="1" applyFont="1" applyFill="1" applyAlignment="1"/>
    <xf numFmtId="168" fontId="0" fillId="6" borderId="0" xfId="0" applyNumberFormat="1" applyFont="1" applyFill="1" applyAlignment="1"/>
    <xf numFmtId="10" fontId="6" fillId="7" borderId="0" xfId="0" applyNumberFormat="1" applyFont="1" applyFill="1" applyAlignment="1">
      <alignment horizontal="center"/>
    </xf>
    <xf numFmtId="10" fontId="0" fillId="6" borderId="0" xfId="0" applyNumberFormat="1" applyFont="1" applyFill="1" applyAlignment="1"/>
    <xf numFmtId="0" fontId="0" fillId="0" borderId="0" xfId="0" applyAlignment="1">
      <alignment horizontal="center" vertical="center"/>
    </xf>
    <xf numFmtId="167" fontId="0" fillId="0" borderId="0" xfId="2" applyNumberFormat="1" applyFont="1"/>
    <xf numFmtId="167" fontId="0" fillId="0" borderId="0" xfId="0" applyNumberFormat="1" applyFont="1" applyAlignment="1">
      <alignment horizontal="right"/>
    </xf>
  </cellXfs>
  <cellStyles count="3">
    <cellStyle name="Comma" xfId="1" builtinId="3"/>
    <cellStyle name="Currency" xfId="2" builtinId="4"/>
    <cellStyle name="Normal" xfId="0" builtinId="0"/>
  </cellStyles>
  <dxfs count="54">
    <dxf>
      <numFmt numFmtId="167" formatCode="_-&quot;$&quot;* #,##0_-;\-&quot;$&quot;* #,##0_-;_-&quot;$&quot;* &quot;-&quot;??_-;_-@_-"/>
    </dxf>
    <dxf>
      <numFmt numFmtId="167" formatCode="_-&quot;$&quot;* #,##0_-;\-&quot;$&quot;* #,##0_-;_-&quot;$&quot;* &quot;-&quot;??_-;_-@_-"/>
    </dxf>
    <dxf>
      <fill>
        <patternFill>
          <bgColor theme="0" tint="-4.9989318521683403E-2"/>
        </patternFill>
      </fill>
    </dxf>
    <dxf>
      <fill>
        <patternFill>
          <bgColor theme="0" tint="-4.9989318521683403E-2"/>
        </patternFill>
      </fill>
    </dxf>
    <dxf>
      <fill>
        <patternFill patternType="solid">
          <bgColor theme="5"/>
        </patternFill>
      </fill>
    </dxf>
    <dxf>
      <font>
        <sz val="8"/>
      </font>
      <numFmt numFmtId="14" formatCode="0.00%"/>
      <fill>
        <patternFill patternType="none">
          <fgColor indexed="64"/>
          <bgColor indexed="65"/>
        </patternFill>
      </fill>
      <alignment horizontal="center"/>
    </dxf>
    <dxf>
      <numFmt numFmtId="168" formatCode="0.0%"/>
    </dxf>
    <dxf>
      <numFmt numFmtId="166" formatCode="_-* #,##0_-;\-* #,##0_-;_-* &quot;-&quot;??_-;_-@_-"/>
    </dxf>
    <dxf>
      <fill>
        <patternFill>
          <fgColor rgb="FFF3F3F3"/>
        </patternFill>
      </fill>
      <alignment horizontal="general" vertical="bottom" textRotation="0" wrapText="0" indent="0" justifyLastLine="0" shrinkToFit="0" readingOrder="0"/>
    </dxf>
    <dxf>
      <fill>
        <patternFill>
          <fgColor rgb="FFF3F3F3"/>
        </patternFill>
      </fill>
      <alignment horizontal="general" vertical="bottom" textRotation="0" wrapText="0" indent="0" justifyLastLine="0" shrinkToFit="0" readingOrder="0"/>
    </dxf>
    <dxf>
      <fill>
        <patternFill>
          <bgColor rgb="FFF3F3F3"/>
        </patternFill>
      </fill>
    </dxf>
    <dxf>
      <fill>
        <patternFill>
          <bgColor theme="5"/>
        </patternFill>
      </fill>
    </dxf>
    <dxf>
      <fill>
        <patternFill>
          <bgColor theme="5"/>
        </patternFill>
      </fill>
    </dxf>
    <dxf>
      <fill>
        <patternFill patternType="solid">
          <bgColor theme="7"/>
        </patternFill>
      </fill>
    </dxf>
    <dxf>
      <fill>
        <patternFill patternType="solid">
          <bgColor theme="7"/>
        </patternFill>
      </fill>
    </dxf>
    <dxf>
      <fill>
        <patternFill patternType="solid">
          <bgColor theme="7"/>
        </patternFill>
      </fill>
    </dxf>
    <dxf>
      <alignment horizontal="center"/>
    </dxf>
    <dxf>
      <font>
        <sz val="8"/>
      </font>
    </dxf>
    <dxf>
      <font>
        <sz val="11"/>
      </font>
    </dxf>
    <dxf>
      <numFmt numFmtId="168" formatCode="0.0%"/>
    </dxf>
    <dxf>
      <numFmt numFmtId="14" formatCode="0.00%"/>
    </dxf>
    <dxf>
      <alignment horizontal="right"/>
    </dxf>
    <dxf>
      <alignment horizontal="right"/>
    </dxf>
    <dxf>
      <alignment horizontal="center"/>
    </dxf>
    <dxf>
      <font>
        <sz val="12"/>
      </font>
    </dxf>
    <dxf>
      <numFmt numFmtId="14" formatCode="0.00%"/>
    </dxf>
    <dxf>
      <numFmt numFmtId="166" formatCode="_-* #,##0_-;\-* #,##0_-;_-* &quot;-&quot;??_-;_-@_-"/>
    </dxf>
    <dxf>
      <font>
        <b/>
        <strike val="0"/>
        <outline val="0"/>
        <shadow val="0"/>
        <u val="none"/>
        <vertAlign val="baseline"/>
        <sz val="11"/>
        <color theme="0"/>
        <name val="Calibri"/>
        <family val="2"/>
        <scheme val="minor"/>
      </font>
      <fill>
        <patternFill patternType="solid">
          <fgColor indexed="64"/>
          <bgColor theme="8" tint="0.39997558519241921"/>
        </patternFill>
      </fill>
    </dxf>
    <dxf>
      <font>
        <color theme="5"/>
      </font>
      <border>
        <bottom style="thin">
          <color theme="6"/>
        </bottom>
        <vertical/>
        <horizontal/>
      </border>
    </dxf>
    <dxf>
      <font>
        <color theme="1"/>
      </font>
      <fill>
        <patternFill patternType="solid">
          <bgColor theme="8" tint="-0.499984740745262"/>
        </patternFill>
      </fill>
      <border diagonalUp="0" diagonalDown="0">
        <left/>
        <right/>
        <top/>
        <bottom/>
        <vertical/>
        <horizontal/>
      </border>
    </dxf>
    <dxf>
      <fill>
        <patternFill patternType="solid">
          <fgColor theme="7"/>
          <bgColor theme="7"/>
        </patternFill>
      </fill>
      <border>
        <bottom style="thin">
          <color theme="4" tint="0.39997558519241921"/>
        </bottom>
      </border>
    </dxf>
    <dxf>
      <fill>
        <patternFill patternType="solid">
          <fgColor theme="7"/>
          <bgColor theme="7"/>
        </patternFill>
      </fill>
      <border>
        <bottom style="thin">
          <color theme="4" tint="0.39997558519241921"/>
        </bottom>
      </border>
    </dxf>
    <dxf>
      <font>
        <b/>
        <color theme="1"/>
      </font>
    </dxf>
    <dxf>
      <font>
        <b/>
        <color theme="1"/>
      </font>
      <border>
        <bottom style="thin">
          <color theme="4" tint="0.39997558519241921"/>
        </bottom>
      </border>
    </dxf>
    <dxf>
      <font>
        <b/>
        <color theme="1"/>
      </font>
    </dxf>
    <dxf>
      <font>
        <b/>
        <color theme="1"/>
      </font>
      <border>
        <top style="thin">
          <color theme="4"/>
        </top>
        <bottom style="thin">
          <color theme="4"/>
        </bottom>
      </border>
    </dxf>
    <dxf>
      <fill>
        <patternFill patternType="solid">
          <fgColor theme="0" tint="-0.14999847407452621"/>
          <bgColor theme="0" tint="-0.14999847407452621"/>
        </patternFill>
      </fill>
    </dxf>
    <dxf>
      <fill>
        <patternFill patternType="solid">
          <fgColor theme="0" tint="-4.9989318521683403E-2"/>
          <bgColor theme="0" tint="-4.9989318521683403E-2"/>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i val="0"/>
      </font>
    </dxf>
    <dxf>
      <font>
        <b/>
        <color theme="1"/>
      </font>
      <fill>
        <patternFill patternType="solid">
          <fgColor theme="4" tint="0.79998168889431442"/>
          <bgColor theme="4" tint="0.79998168889431442"/>
        </patternFill>
      </fill>
      <border>
        <top style="thin">
          <color theme="4" tint="0.39997558519241921"/>
        </top>
      </border>
    </dxf>
    <dxf>
      <font>
        <b/>
        <color theme="1"/>
      </font>
      <fill>
        <patternFill patternType="solid">
          <fgColor theme="4" tint="0.79998168889431442"/>
          <bgColor theme="4" tint="0.79998168889431442"/>
        </patternFill>
      </fill>
      <border>
        <bottom style="thin">
          <color theme="4" tint="0.39997558519241921"/>
        </bottom>
      </border>
    </dxf>
    <dxf>
      <fill>
        <patternFill patternType="solid">
          <fgColor theme="4" tint="0.79998168889431442"/>
          <bgColor theme="4" tint="0.79998168889431442"/>
        </patternFill>
      </fill>
      <border>
        <bottom style="thin">
          <color theme="4" tint="0.39997558519241921"/>
        </bottom>
      </border>
    </dxf>
    <dxf>
      <fill>
        <patternFill patternType="solid">
          <fgColor theme="7"/>
          <bgColor theme="7"/>
        </patternFill>
      </fill>
      <border>
        <bottom style="thin">
          <color theme="4" tint="0.39997558519241921"/>
        </bottom>
      </border>
    </dxf>
    <dxf>
      <font>
        <b/>
        <color theme="1"/>
      </font>
    </dxf>
    <dxf>
      <font>
        <b/>
        <color theme="1"/>
      </font>
      <border>
        <bottom style="thin">
          <color theme="4" tint="0.39997558519241921"/>
        </bottom>
      </border>
    </dxf>
    <dxf>
      <font>
        <b/>
        <color theme="1"/>
      </font>
    </dxf>
    <dxf>
      <font>
        <b/>
        <color theme="1"/>
      </font>
      <border>
        <top style="thin">
          <color theme="4"/>
        </top>
        <bottom style="thin">
          <color theme="4"/>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i val="0"/>
      </font>
    </dxf>
    <dxf>
      <font>
        <b/>
        <color theme="1"/>
      </font>
      <fill>
        <patternFill patternType="solid">
          <fgColor theme="4" tint="0.79998168889431442"/>
          <bgColor theme="4" tint="0.79998168889431442"/>
        </patternFill>
      </fill>
      <border>
        <top style="thin">
          <color theme="4" tint="0.39997558519241921"/>
        </top>
      </border>
    </dxf>
    <dxf>
      <font>
        <b/>
        <color theme="1"/>
      </font>
      <fill>
        <patternFill patternType="solid">
          <fgColor theme="4" tint="0.79998168889431442"/>
          <bgColor theme="4" tint="0.79998168889431442"/>
        </patternFill>
      </fill>
      <border>
        <bottom style="thin">
          <color theme="4" tint="0.39997558519241921"/>
        </bottom>
      </border>
    </dxf>
  </dxfs>
  <tableStyles count="3" defaultTableStyle="TableStyleMedium2" defaultPivotStyle="PivotStyleLight16">
    <tableStyle name="Slicer Pivot" table="0" count="12" xr9:uid="{9A82C9B8-0081-4B92-A386-69EFF3DB77FB}">
      <tableStyleElement type="headerRow" dxfId="53"/>
      <tableStyleElement type="totalRow" dxfId="52"/>
      <tableStyleElement type="firstColumn" dxfId="51"/>
      <tableStyleElement type="firstRowStripe" dxfId="50"/>
      <tableStyleElement type="firstColumnStripe" dxfId="49"/>
      <tableStyleElement type="firstSubtotalColumn" dxfId="48"/>
      <tableStyleElement type="firstSubtotalRow" dxfId="47"/>
      <tableStyleElement type="secondSubtotalRow" dxfId="46"/>
      <tableStyleElement type="firstRowSubheading" dxfId="45"/>
      <tableStyleElement type="secondRowSubheading" dxfId="44"/>
      <tableStyleElement type="pageFieldLabels" dxfId="43"/>
      <tableStyleElement type="pageFieldValues" dxfId="42"/>
    </tableStyle>
    <tableStyle name="Slicer Pivot 2" table="0" count="12" xr9:uid="{FC8B7A92-8006-4243-B0B4-4341E6354260}">
      <tableStyleElement type="headerRow" dxfId="41"/>
      <tableStyleElement type="totalRow" dxfId="40"/>
      <tableStyleElement type="firstColumn" dxfId="39"/>
      <tableStyleElement type="firstRowStripe" dxfId="38"/>
      <tableStyleElement type="firstColumnStripe" dxfId="37"/>
      <tableStyleElement type="firstSubtotalColumn" dxfId="36"/>
      <tableStyleElement type="firstSubtotalRow" dxfId="35"/>
      <tableStyleElement type="secondSubtotalRow" dxfId="34"/>
      <tableStyleElement type="firstRowSubheading" dxfId="33"/>
      <tableStyleElement type="secondRowSubheading" dxfId="32"/>
      <tableStyleElement type="pageFieldLabels" dxfId="31"/>
      <tableStyleElement type="pageFieldValues" dxfId="30"/>
    </tableStyle>
    <tableStyle name="Slicer_Dashboard" pivot="0" table="0" count="10" xr9:uid="{00000000-0011-0000-FFFF-FFFF00000000}">
      <tableStyleElement type="wholeTable" dxfId="29"/>
      <tableStyleElement type="headerRow" dxfId="28"/>
    </tableStyle>
  </tableStyles>
  <colors>
    <mruColors>
      <color rgb="FFF3F3F3"/>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6" tint="0.59999389629810485"/>
              <bgColor theme="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theme="0" tint="-0.14996795556505021"/>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indexed="64"/>
              <bgColor theme="0" tint="-0.1499679555650502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_Dashboard">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image" Target="../media/image3.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3584320432931872E-2"/>
          <c:y val="0.10814299742522847"/>
          <c:w val="0.93888888888888888"/>
          <c:h val="0.78646585192475937"/>
        </c:manualLayout>
      </c:layout>
      <c:barChart>
        <c:barDir val="col"/>
        <c:grouping val="clustered"/>
        <c:varyColors val="0"/>
        <c:ser>
          <c:idx val="0"/>
          <c:order val="0"/>
          <c:tx>
            <c:strRef>
              <c:f>Calculation!$E$3</c:f>
              <c:strCache>
                <c:ptCount val="1"/>
                <c:pt idx="0">
                  <c:v>Revenue</c:v>
                </c:pt>
              </c:strCache>
            </c:strRef>
          </c:tx>
          <c:spPr>
            <a:solidFill>
              <a:schemeClr val="bg1">
                <a:lumMod val="85000"/>
              </a:schemeClr>
            </a:solidFill>
            <a:ln>
              <a:noFill/>
            </a:ln>
            <a:effectLst/>
          </c:spPr>
          <c:invertIfNegative val="0"/>
          <c:dLbls>
            <c:spPr>
              <a:solidFill>
                <a:schemeClr val="accent5">
                  <a:lumMod val="50000"/>
                </a:schemeClr>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Calculation!$D$4:$D$8</c:f>
              <c:strCache>
                <c:ptCount val="5"/>
                <c:pt idx="0">
                  <c:v>Asia</c:v>
                </c:pt>
                <c:pt idx="1">
                  <c:v>Australia</c:v>
                </c:pt>
                <c:pt idx="2">
                  <c:v>Europe</c:v>
                </c:pt>
                <c:pt idx="3">
                  <c:v>North America</c:v>
                </c:pt>
                <c:pt idx="4">
                  <c:v>South America</c:v>
                </c:pt>
              </c:strCache>
            </c:strRef>
          </c:cat>
          <c:val>
            <c:numRef>
              <c:f>Calculation!$E$4:$E$8</c:f>
              <c:numCache>
                <c:formatCode>_-"$"* #,##0_-;\-"$"* #,##0_-;_-"$"* "-"??_-;_-@_-</c:formatCode>
                <c:ptCount val="5"/>
                <c:pt idx="0">
                  <c:v>43784</c:v>
                </c:pt>
                <c:pt idx="1">
                  <c:v>49656</c:v>
                </c:pt>
                <c:pt idx="2">
                  <c:v>46336</c:v>
                </c:pt>
                <c:pt idx="3">
                  <c:v>44675</c:v>
                </c:pt>
                <c:pt idx="4">
                  <c:v>42569</c:v>
                </c:pt>
              </c:numCache>
            </c:numRef>
          </c:val>
          <c:extLst>
            <c:ext xmlns:c16="http://schemas.microsoft.com/office/drawing/2014/chart" uri="{C3380CC4-5D6E-409C-BE32-E72D297353CC}">
              <c16:uniqueId val="{00000000-6F5B-499F-A612-56130B8E1564}"/>
            </c:ext>
          </c:extLst>
        </c:ser>
        <c:ser>
          <c:idx val="1"/>
          <c:order val="1"/>
          <c:tx>
            <c:strRef>
              <c:f>Calculation!$F$3</c:f>
              <c:strCache>
                <c:ptCount val="1"/>
                <c:pt idx="0">
                  <c:v>Max</c:v>
                </c:pt>
              </c:strCache>
            </c:strRef>
          </c:tx>
          <c:spPr>
            <a:solidFill>
              <a:schemeClr val="accent2"/>
            </a:solidFill>
            <a:ln>
              <a:noFill/>
            </a:ln>
            <a:effectLst/>
          </c:spPr>
          <c:invertIfNegative val="0"/>
          <c:dLbls>
            <c:delete val="1"/>
          </c:dLbls>
          <c:cat>
            <c:strRef>
              <c:f>Calculation!$D$4:$D$8</c:f>
              <c:strCache>
                <c:ptCount val="5"/>
                <c:pt idx="0">
                  <c:v>Asia</c:v>
                </c:pt>
                <c:pt idx="1">
                  <c:v>Australia</c:v>
                </c:pt>
                <c:pt idx="2">
                  <c:v>Europe</c:v>
                </c:pt>
                <c:pt idx="3">
                  <c:v>North America</c:v>
                </c:pt>
                <c:pt idx="4">
                  <c:v>South America</c:v>
                </c:pt>
              </c:strCache>
            </c:strRef>
          </c:cat>
          <c:val>
            <c:numRef>
              <c:f>Calculation!$F$4:$F$8</c:f>
              <c:numCache>
                <c:formatCode>_-"$"* #,##0_-;\-"$"* #,##0_-;_-"$"* "-"??_-;_-@_-</c:formatCode>
                <c:ptCount val="5"/>
                <c:pt idx="0">
                  <c:v>0</c:v>
                </c:pt>
                <c:pt idx="1">
                  <c:v>49656</c:v>
                </c:pt>
                <c:pt idx="2">
                  <c:v>0</c:v>
                </c:pt>
                <c:pt idx="3">
                  <c:v>0</c:v>
                </c:pt>
                <c:pt idx="4">
                  <c:v>0</c:v>
                </c:pt>
              </c:numCache>
            </c:numRef>
          </c:val>
          <c:extLst>
            <c:ext xmlns:c16="http://schemas.microsoft.com/office/drawing/2014/chart" uri="{C3380CC4-5D6E-409C-BE32-E72D297353CC}">
              <c16:uniqueId val="{00000001-6F5B-499F-A612-56130B8E1564}"/>
            </c:ext>
          </c:extLst>
        </c:ser>
        <c:dLbls>
          <c:showLegendKey val="0"/>
          <c:showVal val="1"/>
          <c:showCatName val="0"/>
          <c:showSerName val="0"/>
          <c:showPercent val="0"/>
          <c:showBubbleSize val="0"/>
        </c:dLbls>
        <c:gapWidth val="129"/>
        <c:overlap val="100"/>
        <c:axId val="1884506496"/>
        <c:axId val="1884526464"/>
      </c:barChart>
      <c:lineChart>
        <c:grouping val="standard"/>
        <c:varyColors val="0"/>
        <c:ser>
          <c:idx val="2"/>
          <c:order val="2"/>
          <c:tx>
            <c:strRef>
              <c:f>Calculation!$G$3</c:f>
              <c:strCache>
                <c:ptCount val="1"/>
                <c:pt idx="0">
                  <c:v>Average</c:v>
                </c:pt>
              </c:strCache>
            </c:strRef>
          </c:tx>
          <c:spPr>
            <a:ln w="12700" cap="rnd">
              <a:solidFill>
                <a:schemeClr val="bg1">
                  <a:lumMod val="85000"/>
                </a:schemeClr>
              </a:solidFill>
              <a:prstDash val="dash"/>
              <a:round/>
            </a:ln>
            <a:effectLst/>
          </c:spPr>
          <c:marker>
            <c:symbol val="none"/>
          </c:marker>
          <c:dLbls>
            <c:delete val="1"/>
          </c:dLbls>
          <c:cat>
            <c:strRef>
              <c:f>Calculation!$D$4:$D$8</c:f>
              <c:strCache>
                <c:ptCount val="5"/>
                <c:pt idx="0">
                  <c:v>Asia</c:v>
                </c:pt>
                <c:pt idx="1">
                  <c:v>Australia</c:v>
                </c:pt>
                <c:pt idx="2">
                  <c:v>Europe</c:v>
                </c:pt>
                <c:pt idx="3">
                  <c:v>North America</c:v>
                </c:pt>
                <c:pt idx="4">
                  <c:v>South America</c:v>
                </c:pt>
              </c:strCache>
            </c:strRef>
          </c:cat>
          <c:val>
            <c:numRef>
              <c:f>Calculation!$G$4:$G$8</c:f>
              <c:numCache>
                <c:formatCode>_-* #,##0_-;\-* #,##0_-;_-* "-"??_-;_-@_-</c:formatCode>
                <c:ptCount val="5"/>
                <c:pt idx="0">
                  <c:v>45404</c:v>
                </c:pt>
                <c:pt idx="1">
                  <c:v>45404</c:v>
                </c:pt>
                <c:pt idx="2">
                  <c:v>45404</c:v>
                </c:pt>
                <c:pt idx="3">
                  <c:v>45404</c:v>
                </c:pt>
                <c:pt idx="4">
                  <c:v>45404</c:v>
                </c:pt>
              </c:numCache>
            </c:numRef>
          </c:val>
          <c:smooth val="0"/>
          <c:extLst>
            <c:ext xmlns:c16="http://schemas.microsoft.com/office/drawing/2014/chart" uri="{C3380CC4-5D6E-409C-BE32-E72D297353CC}">
              <c16:uniqueId val="{00000002-6F5B-499F-A612-56130B8E1564}"/>
            </c:ext>
          </c:extLst>
        </c:ser>
        <c:dLbls>
          <c:showLegendKey val="0"/>
          <c:showVal val="1"/>
          <c:showCatName val="0"/>
          <c:showSerName val="0"/>
          <c:showPercent val="0"/>
          <c:showBubbleSize val="0"/>
        </c:dLbls>
        <c:marker val="1"/>
        <c:smooth val="0"/>
        <c:axId val="1884506496"/>
        <c:axId val="1884526464"/>
      </c:lineChart>
      <c:catAx>
        <c:axId val="1884506496"/>
        <c:scaling>
          <c:orientation val="minMax"/>
        </c:scaling>
        <c:delete val="0"/>
        <c:axPos val="b"/>
        <c:numFmt formatCode="General" sourceLinked="1"/>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NG"/>
          </a:p>
        </c:txPr>
        <c:crossAx val="1884526464"/>
        <c:crosses val="autoZero"/>
        <c:auto val="1"/>
        <c:lblAlgn val="ctr"/>
        <c:lblOffset val="100"/>
        <c:noMultiLvlLbl val="0"/>
      </c:catAx>
      <c:valAx>
        <c:axId val="1884526464"/>
        <c:scaling>
          <c:orientation val="minMax"/>
        </c:scaling>
        <c:delete val="1"/>
        <c:axPos val="l"/>
        <c:numFmt formatCode="_-&quot;$&quot;* #,##0_-;\-&quot;$&quot;* #,##0_-;_-&quot;$&quot;* &quot;-&quot;??_-;_-@_-" sourceLinked="1"/>
        <c:majorTickMark val="none"/>
        <c:minorTickMark val="none"/>
        <c:tickLblPos val="nextTo"/>
        <c:crossAx val="1884506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111111111111108E-2"/>
          <c:y val="5.0925925925925923E-2"/>
          <c:w val="0.93888888888888888"/>
          <c:h val="0.83739757377888735"/>
        </c:manualLayout>
      </c:layout>
      <c:barChart>
        <c:barDir val="col"/>
        <c:grouping val="stacked"/>
        <c:varyColors val="0"/>
        <c:ser>
          <c:idx val="0"/>
          <c:order val="0"/>
          <c:spPr>
            <a:blipFill>
              <a:blip xmlns:r="http://schemas.openxmlformats.org/officeDocument/2006/relationships" r:embed="rId3"/>
              <a:stretch>
                <a:fillRect/>
              </a:stretch>
            </a:blipFill>
            <a:ln>
              <a:noFill/>
            </a:ln>
            <a:effectLst/>
          </c:spPr>
          <c:invertIfNegative val="0"/>
          <c:cat>
            <c:strRef>
              <c:f>Calculation!$I$19:$I$21</c:f>
              <c:strCache>
                <c:ptCount val="3"/>
                <c:pt idx="0">
                  <c:v> Game </c:v>
                </c:pt>
                <c:pt idx="1">
                  <c:v> Productivity </c:v>
                </c:pt>
                <c:pt idx="2">
                  <c:v> Utility </c:v>
                </c:pt>
              </c:strCache>
            </c:strRef>
          </c:cat>
          <c:val>
            <c:numRef>
              <c:f>Calculation!$K$19:$K$21</c:f>
              <c:numCache>
                <c:formatCode>_-* #,##0_-;\-* #,##0_-;_-* "-"??_-;_-@_-</c:formatCode>
                <c:ptCount val="3"/>
                <c:pt idx="0">
                  <c:v>14638.5</c:v>
                </c:pt>
                <c:pt idx="1">
                  <c:v>14638.5</c:v>
                </c:pt>
                <c:pt idx="2">
                  <c:v>14638.5</c:v>
                </c:pt>
              </c:numCache>
            </c:numRef>
          </c:val>
          <c:extLst>
            <c:ext xmlns:c16="http://schemas.microsoft.com/office/drawing/2014/chart" uri="{C3380CC4-5D6E-409C-BE32-E72D297353CC}">
              <c16:uniqueId val="{00000000-BEC1-40C1-80C6-99F47B0D6811}"/>
            </c:ext>
          </c:extLst>
        </c:ser>
        <c:ser>
          <c:idx val="1"/>
          <c:order val="1"/>
          <c:spPr>
            <a:solidFill>
              <a:schemeClr val="bg1">
                <a:lumMod val="85000"/>
              </a:schemeClr>
            </a:solidFill>
            <a:ln>
              <a:noFill/>
            </a:ln>
            <a:effectLst/>
          </c:spPr>
          <c:invertIfNegative val="0"/>
          <c:cat>
            <c:strRef>
              <c:f>Calculation!$I$19:$I$21</c:f>
              <c:strCache>
                <c:ptCount val="3"/>
                <c:pt idx="0">
                  <c:v> Game </c:v>
                </c:pt>
                <c:pt idx="1">
                  <c:v> Productivity </c:v>
                </c:pt>
                <c:pt idx="2">
                  <c:v> Utility </c:v>
                </c:pt>
              </c:strCache>
            </c:strRef>
          </c:cat>
          <c:val>
            <c:numRef>
              <c:f>Calculation!$L$19:$L$21</c:f>
              <c:numCache>
                <c:formatCode>_-* #,##0_-;\-* #,##0_-;_-* "-"??_-;_-@_-</c:formatCode>
                <c:ptCount val="3"/>
                <c:pt idx="0">
                  <c:v>20379</c:v>
                </c:pt>
                <c:pt idx="1">
                  <c:v>0</c:v>
                </c:pt>
                <c:pt idx="2">
                  <c:v>4919</c:v>
                </c:pt>
              </c:numCache>
            </c:numRef>
          </c:val>
          <c:extLst>
            <c:ext xmlns:c16="http://schemas.microsoft.com/office/drawing/2014/chart" uri="{C3380CC4-5D6E-409C-BE32-E72D297353CC}">
              <c16:uniqueId val="{00000001-BEC1-40C1-80C6-99F47B0D6811}"/>
            </c:ext>
          </c:extLst>
        </c:ser>
        <c:ser>
          <c:idx val="2"/>
          <c:order val="2"/>
          <c:spPr>
            <a:blipFill>
              <a:blip xmlns:r="http://schemas.openxmlformats.org/officeDocument/2006/relationships" r:embed="rId4"/>
              <a:stretch>
                <a:fillRect/>
              </a:stretch>
            </a:blipFill>
            <a:ln>
              <a:noFill/>
            </a:ln>
            <a:effectLst/>
          </c:spPr>
          <c:invertIfNegative val="0"/>
          <c:dLbls>
            <c:dLbl>
              <c:idx val="0"/>
              <c:tx>
                <c:rich>
                  <a:bodyPr/>
                  <a:lstStyle/>
                  <a:p>
                    <a:fld id="{29B922B2-0710-400F-B915-3EA6910773F9}" type="CELLRANGE">
                      <a:rPr lang="en-US"/>
                      <a:pPr/>
                      <a:t>[CELLRANGE]</a:t>
                    </a:fld>
                    <a:endParaRPr lang="en-NG"/>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BEC1-40C1-80C6-99F47B0D6811}"/>
                </c:ext>
              </c:extLst>
            </c:dLbl>
            <c:dLbl>
              <c:idx val="1"/>
              <c:tx>
                <c:rich>
                  <a:bodyPr/>
                  <a:lstStyle/>
                  <a:p>
                    <a:fld id="{0F5DDE96-B8E5-42E2-B333-55BCB306DDF2}" type="CELLRANGE">
                      <a:rPr lang="en-NG"/>
                      <a:pPr/>
                      <a:t>[CELLRANGE]</a:t>
                    </a:fld>
                    <a:endParaRPr lang="en-NG"/>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BEC1-40C1-80C6-99F47B0D6811}"/>
                </c:ext>
              </c:extLst>
            </c:dLbl>
            <c:dLbl>
              <c:idx val="2"/>
              <c:tx>
                <c:rich>
                  <a:bodyPr/>
                  <a:lstStyle/>
                  <a:p>
                    <a:fld id="{C88EB110-72B6-471B-AC10-C13C7B870725}" type="CELLRANGE">
                      <a:rPr lang="en-NG"/>
                      <a:pPr/>
                      <a:t>[CELLRANGE]</a:t>
                    </a:fld>
                    <a:endParaRPr lang="en-NG"/>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BEC1-40C1-80C6-99F47B0D681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Calculation!$I$19:$I$21</c:f>
              <c:strCache>
                <c:ptCount val="3"/>
                <c:pt idx="0">
                  <c:v> Game </c:v>
                </c:pt>
                <c:pt idx="1">
                  <c:v> Productivity </c:v>
                </c:pt>
                <c:pt idx="2">
                  <c:v> Utility </c:v>
                </c:pt>
              </c:strCache>
            </c:strRef>
          </c:cat>
          <c:val>
            <c:numRef>
              <c:f>Calculation!$M$19:$M$21</c:f>
              <c:numCache>
                <c:formatCode>_-* #,##0_-;\-* #,##0_-;_-* "-"??_-;_-@_-</c:formatCode>
                <c:ptCount val="3"/>
                <c:pt idx="0">
                  <c:v>14638.5</c:v>
                </c:pt>
                <c:pt idx="1">
                  <c:v>14638.5</c:v>
                </c:pt>
                <c:pt idx="2">
                  <c:v>14638.5</c:v>
                </c:pt>
              </c:numCache>
            </c:numRef>
          </c:val>
          <c:extLst>
            <c:ext xmlns:c15="http://schemas.microsoft.com/office/drawing/2012/chart" uri="{02D57815-91ED-43cb-92C2-25804820EDAC}">
              <c15:datalabelsRange>
                <c15:f>Calculation!$N$19:$N$21</c15:f>
                <c15:dlblRangeCache>
                  <c:ptCount val="3"/>
                  <c:pt idx="0">
                    <c:v> $49,656 </c:v>
                  </c:pt>
                  <c:pt idx="1">
                    <c:v> $29,277 </c:v>
                  </c:pt>
                  <c:pt idx="2">
                    <c:v> $34,196 </c:v>
                  </c:pt>
                </c15:dlblRangeCache>
              </c15:datalabelsRange>
            </c:ext>
            <c:ext xmlns:c16="http://schemas.microsoft.com/office/drawing/2014/chart" uri="{C3380CC4-5D6E-409C-BE32-E72D297353CC}">
              <c16:uniqueId val="{00000002-BEC1-40C1-80C6-99F47B0D6811}"/>
            </c:ext>
          </c:extLst>
        </c:ser>
        <c:dLbls>
          <c:showLegendKey val="0"/>
          <c:showVal val="0"/>
          <c:showCatName val="0"/>
          <c:showSerName val="0"/>
          <c:showPercent val="0"/>
          <c:showBubbleSize val="0"/>
        </c:dLbls>
        <c:gapWidth val="30"/>
        <c:overlap val="100"/>
        <c:axId val="1972211040"/>
        <c:axId val="1972209792"/>
      </c:barChart>
      <c:catAx>
        <c:axId val="197221104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NG"/>
          </a:p>
        </c:txPr>
        <c:crossAx val="1972209792"/>
        <c:crosses val="autoZero"/>
        <c:auto val="1"/>
        <c:lblAlgn val="ctr"/>
        <c:lblOffset val="100"/>
        <c:noMultiLvlLbl val="0"/>
      </c:catAx>
      <c:valAx>
        <c:axId val="1972209792"/>
        <c:scaling>
          <c:orientation val="minMax"/>
        </c:scaling>
        <c:delete val="1"/>
        <c:axPos val="l"/>
        <c:numFmt formatCode="_-* #,##0_-;\-* #,##0_-;_-* &quot;-&quot;??_-;_-@_-" sourceLinked="1"/>
        <c:majorTickMark val="none"/>
        <c:minorTickMark val="none"/>
        <c:tickLblPos val="nextTo"/>
        <c:crossAx val="19722110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5" Type="http://schemas.openxmlformats.org/officeDocument/2006/relationships/image" Target="../media/image5.emf"/><Relationship Id="rId4" Type="http://schemas.openxmlformats.org/officeDocument/2006/relationships/image" Target="../media/image4.emf"/></Relationships>
</file>

<file path=xl/drawings/_rels/drawing2.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292415</xdr:colOff>
      <xdr:row>0</xdr:row>
      <xdr:rowOff>63520</xdr:rowOff>
    </xdr:from>
    <xdr:to>
      <xdr:col>3</xdr:col>
      <xdr:colOff>335280</xdr:colOff>
      <xdr:row>5</xdr:row>
      <xdr:rowOff>175260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92415" y="63520"/>
          <a:ext cx="1917385" cy="942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r>
            <a:rPr lang="en-US" sz="3600" b="0" i="0" u="none" strike="noStrike">
              <a:solidFill>
                <a:schemeClr val="bg1"/>
              </a:solidFill>
              <a:latin typeface="Calibri"/>
              <a:ea typeface="+mn-ea"/>
              <a:cs typeface="Calibri"/>
            </a:rPr>
            <a:t>Revenue</a:t>
          </a:r>
        </a:p>
        <a:p>
          <a:pPr marL="0" indent="0" algn="l"/>
          <a:r>
            <a:rPr lang="en-US" sz="1600" b="0" i="0" u="none" strike="noStrike">
              <a:solidFill>
                <a:schemeClr val="bg1"/>
              </a:solidFill>
              <a:latin typeface="Calibri"/>
              <a:ea typeface="+mn-ea"/>
              <a:cs typeface="Calibri"/>
            </a:rPr>
            <a:t>by Division</a:t>
          </a:r>
        </a:p>
      </xdr:txBody>
    </xdr:sp>
    <xdr:clientData/>
  </xdr:twoCellAnchor>
  <xdr:twoCellAnchor>
    <xdr:from>
      <xdr:col>9</xdr:col>
      <xdr:colOff>257172</xdr:colOff>
      <xdr:row>0</xdr:row>
      <xdr:rowOff>63520</xdr:rowOff>
    </xdr:from>
    <xdr:to>
      <xdr:col>14</xdr:col>
      <xdr:colOff>396240</xdr:colOff>
      <xdr:row>6</xdr:row>
      <xdr:rowOff>152400</xdr:rowOff>
    </xdr:to>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5880732" y="63520"/>
          <a:ext cx="2950848" cy="11023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r>
            <a:rPr lang="en-US" sz="3600" b="0" i="0" u="none" strike="noStrike">
              <a:solidFill>
                <a:schemeClr val="bg1"/>
              </a:solidFill>
              <a:latin typeface="Calibri"/>
              <a:ea typeface="+mn-ea"/>
              <a:cs typeface="Calibri"/>
            </a:rPr>
            <a:t>Revenue</a:t>
          </a:r>
          <a:r>
            <a:rPr lang="en-US" sz="2800" b="0" i="0" u="none" strike="noStrike" baseline="0">
              <a:solidFill>
                <a:schemeClr val="bg1"/>
              </a:solidFill>
              <a:latin typeface="Calibri"/>
              <a:ea typeface="+mn-ea"/>
              <a:cs typeface="Calibri"/>
            </a:rPr>
            <a:t> </a:t>
          </a:r>
          <a:r>
            <a:rPr lang="en-US" sz="2000" b="0" i="0" u="none" strike="noStrike">
              <a:solidFill>
                <a:schemeClr val="bg1"/>
              </a:solidFill>
              <a:latin typeface="Calibri"/>
              <a:ea typeface="+mn-ea"/>
              <a:cs typeface="Calibri"/>
            </a:rPr>
            <a:t>by Region</a:t>
          </a:r>
          <a:endParaRPr lang="en-US" sz="1600" b="0" i="0" u="none" strike="noStrike">
            <a:solidFill>
              <a:schemeClr val="bg1"/>
            </a:solidFill>
            <a:latin typeface="Calibri"/>
            <a:ea typeface="+mn-ea"/>
            <a:cs typeface="Calibri"/>
          </a:endParaRPr>
        </a:p>
      </xdr:txBody>
    </xdr:sp>
    <xdr:clientData/>
  </xdr:twoCellAnchor>
  <xdr:twoCellAnchor editAs="oneCell">
    <xdr:from>
      <xdr:col>12</xdr:col>
      <xdr:colOff>205427</xdr:colOff>
      <xdr:row>0</xdr:row>
      <xdr:rowOff>22860</xdr:rowOff>
    </xdr:from>
    <xdr:to>
      <xdr:col>18</xdr:col>
      <xdr:colOff>76200</xdr:colOff>
      <xdr:row>5</xdr:row>
      <xdr:rowOff>150965</xdr:rowOff>
    </xdr:to>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031167" y="22860"/>
          <a:ext cx="1257613" cy="958685"/>
        </a:xfrm>
        <a:prstGeom prst="rect">
          <a:avLst/>
        </a:prstGeom>
      </xdr:spPr>
    </xdr:pic>
    <xdr:clientData/>
  </xdr:twoCellAnchor>
  <xdr:twoCellAnchor>
    <xdr:from>
      <xdr:col>0</xdr:col>
      <xdr:colOff>190501</xdr:colOff>
      <xdr:row>7</xdr:row>
      <xdr:rowOff>15240</xdr:rowOff>
    </xdr:from>
    <xdr:to>
      <xdr:col>7</xdr:col>
      <xdr:colOff>0</xdr:colOff>
      <xdr:row>19</xdr:row>
      <xdr:rowOff>54430</xdr:rowOff>
    </xdr:to>
    <xdr:graphicFrame macro="">
      <xdr:nvGraphicFramePr>
        <xdr:cNvPr id="5" name="Chart 4">
          <a:extLst>
            <a:ext uri="{FF2B5EF4-FFF2-40B4-BE49-F238E27FC236}">
              <a16:creationId xmlns:a16="http://schemas.microsoft.com/office/drawing/2014/main" id="{E66E28E7-8B07-4B91-B0EE-378114F28A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162875</xdr:colOff>
      <xdr:row>0</xdr:row>
      <xdr:rowOff>124480</xdr:rowOff>
    </xdr:from>
    <xdr:to>
      <xdr:col>5</xdr:col>
      <xdr:colOff>30480</xdr:colOff>
      <xdr:row>6</xdr:row>
      <xdr:rowOff>68579</xdr:rowOff>
    </xdr:to>
    <mc:AlternateContent xmlns:mc="http://schemas.openxmlformats.org/markup-compatibility/2006" xmlns:a14="http://schemas.microsoft.com/office/drawing/2010/main">
      <mc:Choice Requires="a14">
        <xdr:graphicFrame macro="">
          <xdr:nvGraphicFramePr>
            <xdr:cNvPr id="6" name="Division">
              <a:extLst>
                <a:ext uri="{FF2B5EF4-FFF2-40B4-BE49-F238E27FC236}">
                  <a16:creationId xmlns:a16="http://schemas.microsoft.com/office/drawing/2014/main" id="{6EAC324C-3B04-4275-965A-52467DB23117}"/>
                </a:ext>
              </a:extLst>
            </xdr:cNvPr>
            <xdr:cNvGraphicFramePr/>
          </xdr:nvGraphicFramePr>
          <xdr:xfrm>
            <a:off x="0" y="0"/>
            <a:ext cx="0" cy="0"/>
          </xdr:xfrm>
          <a:graphic>
            <a:graphicData uri="http://schemas.microsoft.com/office/drawing/2010/slicer">
              <sle:slicer xmlns:sle="http://schemas.microsoft.com/office/drawing/2010/slicer" name="Division"/>
            </a:graphicData>
          </a:graphic>
        </xdr:graphicFrame>
      </mc:Choice>
      <mc:Fallback xmlns="">
        <xdr:sp macro="" textlink="">
          <xdr:nvSpPr>
            <xdr:cNvPr id="0" name=""/>
            <xdr:cNvSpPr>
              <a:spLocks noTextEdit="1"/>
            </xdr:cNvSpPr>
          </xdr:nvSpPr>
          <xdr:spPr>
            <a:xfrm>
              <a:off x="2031432" y="124480"/>
              <a:ext cx="1113309" cy="971142"/>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419676</xdr:colOff>
      <xdr:row>20</xdr:row>
      <xdr:rowOff>62494</xdr:rowOff>
    </xdr:from>
    <xdr:to>
      <xdr:col>3</xdr:col>
      <xdr:colOff>64674</xdr:colOff>
      <xdr:row>22</xdr:row>
      <xdr:rowOff>85354</xdr:rowOff>
    </xdr:to>
    <xdr:sp macro="" textlink="Calculation!$E$9">
      <xdr:nvSpPr>
        <xdr:cNvPr id="10" name="Rectangle 9">
          <a:extLst>
            <a:ext uri="{FF2B5EF4-FFF2-40B4-BE49-F238E27FC236}">
              <a16:creationId xmlns:a16="http://schemas.microsoft.com/office/drawing/2014/main" id="{4A19AD6A-6D07-4161-8C56-F78787423342}"/>
            </a:ext>
          </a:extLst>
        </xdr:cNvPr>
        <xdr:cNvSpPr/>
      </xdr:nvSpPr>
      <xdr:spPr>
        <a:xfrm>
          <a:off x="419676" y="3971106"/>
          <a:ext cx="1527586" cy="38144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95009A37-596A-427F-98F5-EDACE256481D}" type="TxLink">
            <a:rPr lang="en-US" sz="2000" b="1" i="0" u="none" strike="noStrike">
              <a:solidFill>
                <a:schemeClr val="accent2"/>
              </a:solidFill>
              <a:latin typeface="Calibri"/>
              <a:cs typeface="Calibri"/>
            </a:rPr>
            <a:pPr algn="l"/>
            <a:t> $227,020 </a:t>
          </a:fld>
          <a:endParaRPr lang="en-NG" sz="3200" b="1">
            <a:solidFill>
              <a:schemeClr val="accent2"/>
            </a:solidFill>
          </a:endParaRPr>
        </a:p>
      </xdr:txBody>
    </xdr:sp>
    <xdr:clientData/>
  </xdr:twoCellAnchor>
  <xdr:twoCellAnchor>
    <xdr:from>
      <xdr:col>2</xdr:col>
      <xdr:colOff>528662</xdr:colOff>
      <xdr:row>20</xdr:row>
      <xdr:rowOff>37777</xdr:rowOff>
    </xdr:from>
    <xdr:to>
      <xdr:col>6</xdr:col>
      <xdr:colOff>107577</xdr:colOff>
      <xdr:row>22</xdr:row>
      <xdr:rowOff>85354</xdr:rowOff>
    </xdr:to>
    <xdr:sp macro="" textlink="Calculation!$I$4">
      <xdr:nvSpPr>
        <xdr:cNvPr id="11" name="Rectangle 10">
          <a:extLst>
            <a:ext uri="{FF2B5EF4-FFF2-40B4-BE49-F238E27FC236}">
              <a16:creationId xmlns:a16="http://schemas.microsoft.com/office/drawing/2014/main" id="{4E81F46A-194A-4EDD-A5C4-BE93A8D96700}"/>
            </a:ext>
          </a:extLst>
        </xdr:cNvPr>
        <xdr:cNvSpPr/>
      </xdr:nvSpPr>
      <xdr:spPr>
        <a:xfrm>
          <a:off x="1783721" y="3946389"/>
          <a:ext cx="2089032" cy="40616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fld id="{F661D193-A28C-4168-88D8-1E07BDF8B0CF}" type="TxLink">
            <a:rPr lang="en-US" sz="1200" b="1" i="0" u="none" strike="noStrike">
              <a:solidFill>
                <a:schemeClr val="bg1"/>
              </a:solidFill>
              <a:latin typeface="Calibri"/>
              <a:cs typeface="Calibri"/>
            </a:rPr>
            <a:pPr algn="l"/>
            <a:t>Game Apps Sold</a:t>
          </a:fld>
          <a:endParaRPr lang="en-NG" sz="1600" b="1">
            <a:solidFill>
              <a:schemeClr val="bg1"/>
            </a:solidFill>
          </a:endParaRPr>
        </a:p>
      </xdr:txBody>
    </xdr:sp>
    <xdr:clientData/>
  </xdr:twoCellAnchor>
  <xdr:twoCellAnchor>
    <xdr:from>
      <xdr:col>0</xdr:col>
      <xdr:colOff>419676</xdr:colOff>
      <xdr:row>25</xdr:row>
      <xdr:rowOff>31250</xdr:rowOff>
    </xdr:from>
    <xdr:to>
      <xdr:col>7</xdr:col>
      <xdr:colOff>233082</xdr:colOff>
      <xdr:row>27</xdr:row>
      <xdr:rowOff>54109</xdr:rowOff>
    </xdr:to>
    <xdr:sp macro="" textlink="Calculation!I6">
      <xdr:nvSpPr>
        <xdr:cNvPr id="12" name="Rectangle 11">
          <a:extLst>
            <a:ext uri="{FF2B5EF4-FFF2-40B4-BE49-F238E27FC236}">
              <a16:creationId xmlns:a16="http://schemas.microsoft.com/office/drawing/2014/main" id="{ABF0400F-1CDE-41C0-90D7-62C92B20912A}"/>
            </a:ext>
          </a:extLst>
        </xdr:cNvPr>
        <xdr:cNvSpPr/>
      </xdr:nvSpPr>
      <xdr:spPr>
        <a:xfrm>
          <a:off x="419676" y="4836332"/>
          <a:ext cx="4206112" cy="38144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2A8F0B43-E7BA-4DDD-B895-CAB8401F30D7}" type="TxLink">
            <a:rPr lang="en-US" sz="1200" b="1" i="0" u="none" strike="noStrike">
              <a:solidFill>
                <a:schemeClr val="accent2"/>
              </a:solidFill>
              <a:latin typeface="Calibri"/>
              <a:cs typeface="Calibri"/>
            </a:rPr>
            <a:pPr algn="l"/>
            <a:t>South America bought the least Game Apps</a:t>
          </a:fld>
          <a:endParaRPr lang="en-NG" sz="3200" b="1">
            <a:solidFill>
              <a:schemeClr val="accent2"/>
            </a:solidFill>
          </a:endParaRPr>
        </a:p>
      </xdr:txBody>
    </xdr:sp>
    <xdr:clientData/>
  </xdr:twoCellAnchor>
  <xdr:twoCellAnchor>
    <xdr:from>
      <xdr:col>0</xdr:col>
      <xdr:colOff>419676</xdr:colOff>
      <xdr:row>23</xdr:row>
      <xdr:rowOff>29328</xdr:rowOff>
    </xdr:from>
    <xdr:to>
      <xdr:col>6</xdr:col>
      <xdr:colOff>363071</xdr:colOff>
      <xdr:row>25</xdr:row>
      <xdr:rowOff>52188</xdr:rowOff>
    </xdr:to>
    <xdr:sp macro="" textlink="Calculation!I7">
      <xdr:nvSpPr>
        <xdr:cNvPr id="13" name="Rectangle 12">
          <a:extLst>
            <a:ext uri="{FF2B5EF4-FFF2-40B4-BE49-F238E27FC236}">
              <a16:creationId xmlns:a16="http://schemas.microsoft.com/office/drawing/2014/main" id="{6C0F6522-6BEE-4C04-9750-406C79F702D6}"/>
            </a:ext>
          </a:extLst>
        </xdr:cNvPr>
        <xdr:cNvSpPr/>
      </xdr:nvSpPr>
      <xdr:spPr>
        <a:xfrm>
          <a:off x="419676" y="4475822"/>
          <a:ext cx="3708571" cy="38144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97E49B52-CA2B-44E3-8F82-8D744B7EAB2A}" type="TxLink">
            <a:rPr lang="en-US" sz="1200" b="1" i="0" u="none" strike="noStrike">
              <a:solidFill>
                <a:schemeClr val="bg1"/>
              </a:solidFill>
              <a:latin typeface="Calibri"/>
              <a:cs typeface="Calibri"/>
            </a:rPr>
            <a:pPr algn="l"/>
            <a:t>Australia bought the most Game Apps</a:t>
          </a:fld>
          <a:endParaRPr lang="en-NG" sz="4000" b="1">
            <a:solidFill>
              <a:schemeClr val="bg1"/>
            </a:solidFill>
          </a:endParaRPr>
        </a:p>
      </xdr:txBody>
    </xdr:sp>
    <xdr:clientData/>
  </xdr:twoCellAnchor>
  <xdr:twoCellAnchor editAs="oneCell">
    <xdr:from>
      <xdr:col>7</xdr:col>
      <xdr:colOff>135890</xdr:colOff>
      <xdr:row>4</xdr:row>
      <xdr:rowOff>43180</xdr:rowOff>
    </xdr:from>
    <xdr:to>
      <xdr:col>9</xdr:col>
      <xdr:colOff>151130</xdr:colOff>
      <xdr:row>13</xdr:row>
      <xdr:rowOff>157479</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52446119-9954-4F2F-9B26-686F641C1BB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495855" y="699163"/>
              <a:ext cx="1260945" cy="1784073"/>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9</xdr:col>
      <xdr:colOff>487680</xdr:colOff>
      <xdr:row>5</xdr:row>
      <xdr:rowOff>160020</xdr:rowOff>
    </xdr:from>
    <xdr:to>
      <xdr:col>17</xdr:col>
      <xdr:colOff>53340</xdr:colOff>
      <xdr:row>18</xdr:row>
      <xdr:rowOff>114300</xdr:rowOff>
    </xdr:to>
    <xdr:graphicFrame macro="">
      <xdr:nvGraphicFramePr>
        <xdr:cNvPr id="17" name="Chart 16">
          <a:extLst>
            <a:ext uri="{FF2B5EF4-FFF2-40B4-BE49-F238E27FC236}">
              <a16:creationId xmlns:a16="http://schemas.microsoft.com/office/drawing/2014/main" id="{E6A1EB22-86B5-4BCE-A05C-FED95DB472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579120</xdr:colOff>
      <xdr:row>18</xdr:row>
      <xdr:rowOff>160020</xdr:rowOff>
    </xdr:from>
    <xdr:to>
      <xdr:col>14</xdr:col>
      <xdr:colOff>518160</xdr:colOff>
      <xdr:row>26</xdr:row>
      <xdr:rowOff>15240</xdr:rowOff>
    </xdr:to>
    <xdr:grpSp>
      <xdr:nvGrpSpPr>
        <xdr:cNvPr id="24" name="Group 23">
          <a:extLst>
            <a:ext uri="{FF2B5EF4-FFF2-40B4-BE49-F238E27FC236}">
              <a16:creationId xmlns:a16="http://schemas.microsoft.com/office/drawing/2014/main" id="{546E1D05-E459-401D-ABDC-88D8CD2A69CE}"/>
            </a:ext>
          </a:extLst>
        </xdr:cNvPr>
        <xdr:cNvGrpSpPr/>
      </xdr:nvGrpSpPr>
      <xdr:grpSpPr>
        <a:xfrm>
          <a:off x="4922520" y="3403963"/>
          <a:ext cx="3923211" cy="1335677"/>
          <a:chOff x="4953000" y="3368040"/>
          <a:chExt cx="4518660" cy="1318260"/>
        </a:xfrm>
      </xdr:grpSpPr>
      <xdr:sp macro="" textlink="">
        <xdr:nvSpPr>
          <xdr:cNvPr id="16" name="Rectangle: Rounded Corners 15">
            <a:extLst>
              <a:ext uri="{FF2B5EF4-FFF2-40B4-BE49-F238E27FC236}">
                <a16:creationId xmlns:a16="http://schemas.microsoft.com/office/drawing/2014/main" id="{0984ED13-37AB-446E-8DAE-1A43FCFD07AA}"/>
              </a:ext>
            </a:extLst>
          </xdr:cNvPr>
          <xdr:cNvSpPr>
            <a:spLocks noChangeAspect="1"/>
          </xdr:cNvSpPr>
        </xdr:nvSpPr>
        <xdr:spPr>
          <a:xfrm>
            <a:off x="4953000" y="3368040"/>
            <a:ext cx="4518660" cy="1318260"/>
          </a:xfrm>
          <a:prstGeom prst="roundRect">
            <a:avLst>
              <a:gd name="adj" fmla="val 24792"/>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sp macro="" textlink="">
        <xdr:nvSpPr>
          <xdr:cNvPr id="18" name="Rectangle 17">
            <a:extLst>
              <a:ext uri="{FF2B5EF4-FFF2-40B4-BE49-F238E27FC236}">
                <a16:creationId xmlns:a16="http://schemas.microsoft.com/office/drawing/2014/main" id="{D8EDA777-EE1B-4D59-A7D6-F43F920F3DB4}"/>
              </a:ext>
            </a:extLst>
          </xdr:cNvPr>
          <xdr:cNvSpPr/>
        </xdr:nvSpPr>
        <xdr:spPr>
          <a:xfrm>
            <a:off x="6941820" y="3459480"/>
            <a:ext cx="701040" cy="2133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2"/>
                </a:solidFill>
              </a:rPr>
              <a:t>Actual</a:t>
            </a:r>
            <a:endParaRPr lang="en-NG" sz="1200" b="1">
              <a:solidFill>
                <a:schemeClr val="accent2"/>
              </a:solidFill>
            </a:endParaRPr>
          </a:p>
        </xdr:txBody>
      </xdr:sp>
      <mc:AlternateContent xmlns:mc="http://schemas.openxmlformats.org/markup-compatibility/2006" xmlns:a14="http://schemas.microsoft.com/office/drawing/2010/main">
        <mc:Choice Requires="a14">
          <xdr:pic>
            <xdr:nvPicPr>
              <xdr:cNvPr id="27" name="Picture 26">
                <a:extLst>
                  <a:ext uri="{FF2B5EF4-FFF2-40B4-BE49-F238E27FC236}">
                    <a16:creationId xmlns:a16="http://schemas.microsoft.com/office/drawing/2014/main" id="{79254CE0-D2EB-4093-ABAC-858512016768}"/>
                  </a:ext>
                </a:extLst>
              </xdr:cNvPr>
              <xdr:cNvPicPr>
                <a:picLocks noChangeAspect="1" noChangeArrowheads="1"/>
                <a:extLst>
                  <a:ext uri="{84589F7E-364E-4C9E-8A38-B11213B215E9}">
                    <a14:cameraTool cellRange="Calculation!$P$9:$T$13" spid="_x0000_s1063"/>
                  </a:ext>
                </a:extLst>
              </xdr:cNvPicPr>
            </xdr:nvPicPr>
            <xdr:blipFill>
              <a:blip xmlns:r="http://schemas.openxmlformats.org/officeDocument/2006/relationships" r:embed="rId4"/>
              <a:srcRect/>
              <a:stretch>
                <a:fillRect/>
              </a:stretch>
            </xdr:blipFill>
            <xdr:spPr bwMode="auto">
              <a:xfrm>
                <a:off x="5143500" y="3665220"/>
                <a:ext cx="4061460" cy="914400"/>
              </a:xfrm>
              <a:prstGeom prst="rect">
                <a:avLst/>
              </a:prstGeom>
              <a:solidFill>
                <a:srgbClr val="FFFFFF" mc:Ignorable="a14" a14:legacySpreadsheetColorIndex="9"/>
              </a:solidFill>
              <a:ln w="9525">
                <a:noFill/>
                <a:miter lim="800000"/>
                <a:headEnd/>
                <a:tailEnd/>
              </a:ln>
            </xdr:spPr>
          </xdr:pic>
        </mc:Choice>
        <mc:Fallback xmlns=""/>
      </mc:AlternateContent>
      <xdr:sp macro="" textlink="">
        <xdr:nvSpPr>
          <xdr:cNvPr id="28" name="Rectangle 27">
            <a:extLst>
              <a:ext uri="{FF2B5EF4-FFF2-40B4-BE49-F238E27FC236}">
                <a16:creationId xmlns:a16="http://schemas.microsoft.com/office/drawing/2014/main" id="{5A3D14A4-2E3A-4CBB-AD5A-8D9D9A23F5AA}"/>
              </a:ext>
            </a:extLst>
          </xdr:cNvPr>
          <xdr:cNvSpPr/>
        </xdr:nvSpPr>
        <xdr:spPr>
          <a:xfrm>
            <a:off x="8534400" y="3451860"/>
            <a:ext cx="701040" cy="2133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2"/>
                </a:solidFill>
              </a:rPr>
              <a:t>PY</a:t>
            </a:r>
            <a:endParaRPr lang="en-NG" sz="1200" b="1">
              <a:solidFill>
                <a:schemeClr val="accent2"/>
              </a:solidFill>
            </a:endParaRPr>
          </a:p>
        </xdr:txBody>
      </xdr:sp>
    </xdr:grpSp>
    <xdr:clientData/>
  </xdr:twoCellAnchor>
  <mc:AlternateContent xmlns:mc="http://schemas.openxmlformats.org/markup-compatibility/2006">
    <mc:Choice xmlns:a14="http://schemas.microsoft.com/office/drawing/2010/main" Requires="a14">
      <xdr:twoCellAnchor editAs="oneCell">
        <xdr:from>
          <xdr:col>5</xdr:col>
          <xdr:colOff>426720</xdr:colOff>
          <xdr:row>2</xdr:row>
          <xdr:rowOff>0</xdr:rowOff>
        </xdr:from>
        <xdr:to>
          <xdr:col>6</xdr:col>
          <xdr:colOff>426721</xdr:colOff>
          <xdr:row>5</xdr:row>
          <xdr:rowOff>137160</xdr:rowOff>
        </xdr:to>
        <xdr:pic>
          <xdr:nvPicPr>
            <xdr:cNvPr id="19" name="Picture 18">
              <a:extLst>
                <a:ext uri="{FF2B5EF4-FFF2-40B4-BE49-F238E27FC236}">
                  <a16:creationId xmlns:a16="http://schemas.microsoft.com/office/drawing/2014/main" id="{6F6E1ACC-363A-43D0-BA19-E9658528E914}"/>
                </a:ext>
              </a:extLst>
            </xdr:cNvPr>
            <xdr:cNvPicPr>
              <a:picLocks noChangeAspect="1" noChangeArrowheads="1"/>
              <a:extLst>
                <a:ext uri="{84589F7E-364E-4C9E-8A38-B11213B215E9}">
                  <a14:cameraTool cellRange="logo" spid="_x0000_s1064"/>
                </a:ext>
              </a:extLst>
            </xdr:cNvPicPr>
          </xdr:nvPicPr>
          <xdr:blipFill rotWithShape="1">
            <a:blip xmlns:r="http://schemas.openxmlformats.org/officeDocument/2006/relationships" r:embed="rId5"/>
            <a:srcRect l="4258" t="3488" r="8450" b="4651"/>
            <a:stretch>
              <a:fillRect/>
            </a:stretch>
          </xdr:blipFill>
          <xdr:spPr bwMode="auto">
            <a:xfrm>
              <a:off x="3550920" y="365760"/>
              <a:ext cx="624841" cy="601980"/>
            </a:xfrm>
            <a:prstGeom prst="rect">
              <a:avLst/>
            </a:prstGeom>
            <a:solidFill>
              <a:srgbClr val="FFFFFF" mc:Ignorable="a14" a14:legacySpreadsheetColorIndex="9"/>
            </a:solidFill>
            <a:ln w="9525">
              <a:no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117157</xdr:colOff>
      <xdr:row>27</xdr:row>
      <xdr:rowOff>76200</xdr:rowOff>
    </xdr:from>
    <xdr:to>
      <xdr:col>1</xdr:col>
      <xdr:colOff>876109</xdr:colOff>
      <xdr:row>27</xdr:row>
      <xdr:rowOff>891539</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78217" y="6949440"/>
          <a:ext cx="758952" cy="815339"/>
        </a:xfrm>
        <a:prstGeom prst="rect">
          <a:avLst/>
        </a:prstGeom>
        <a:ln>
          <a:noFill/>
        </a:ln>
      </xdr:spPr>
    </xdr:pic>
    <xdr:clientData/>
  </xdr:twoCellAnchor>
  <xdr:twoCellAnchor editAs="absolute">
    <xdr:from>
      <xdr:col>1</xdr:col>
      <xdr:colOff>129044</xdr:colOff>
      <xdr:row>26</xdr:row>
      <xdr:rowOff>57609</xdr:rowOff>
    </xdr:from>
    <xdr:to>
      <xdr:col>1</xdr:col>
      <xdr:colOff>875467</xdr:colOff>
      <xdr:row>26</xdr:row>
      <xdr:rowOff>899160</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90104" y="5947869"/>
          <a:ext cx="746423" cy="841551"/>
        </a:xfrm>
        <a:prstGeom prst="rect">
          <a:avLst/>
        </a:prstGeom>
        <a:ln>
          <a:noFill/>
        </a:ln>
      </xdr:spPr>
    </xdr:pic>
    <xdr:clientData/>
  </xdr:twoCellAnchor>
  <xdr:twoCellAnchor editAs="absolute">
    <xdr:from>
      <xdr:col>1</xdr:col>
      <xdr:colOff>156210</xdr:colOff>
      <xdr:row>25</xdr:row>
      <xdr:rowOff>83821</xdr:rowOff>
    </xdr:from>
    <xdr:to>
      <xdr:col>1</xdr:col>
      <xdr:colOff>915162</xdr:colOff>
      <xdr:row>25</xdr:row>
      <xdr:rowOff>835511</xdr:rowOff>
    </xdr:to>
    <xdr:pic>
      <xdr:nvPicPr>
        <xdr:cNvPr id="13" name="Picture 1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17270" y="4991101"/>
          <a:ext cx="758952" cy="751690"/>
        </a:xfrm>
        <a:prstGeom prst="rect">
          <a:avLst/>
        </a:prstGeom>
        <a:ln>
          <a:noFill/>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mmanuel Idowu" refreshedDate="45490.548006597222" createdVersion="7" refreshedVersion="7" minRefreshableVersion="3" recordCount="30" xr:uid="{61F8419B-F629-4B2E-85B1-376C6B86BA81}">
  <cacheSource type="worksheet">
    <worksheetSource name="RawData"/>
  </cacheSource>
  <cacheFields count="4">
    <cacheField name="Year" numFmtId="0">
      <sharedItems count="2">
        <s v="Current"/>
        <s v="PY"/>
      </sharedItems>
    </cacheField>
    <cacheField name="Division" numFmtId="0">
      <sharedItems count="3">
        <s v="Utility"/>
        <s v="Productivity"/>
        <s v="Game"/>
      </sharedItems>
    </cacheField>
    <cacheField name="Region" numFmtId="0">
      <sharedItems count="5">
        <s v="North America"/>
        <s v="South America"/>
        <s v="Asia"/>
        <s v="Europe"/>
        <s v="Australia"/>
      </sharedItems>
    </cacheField>
    <cacheField name="Revenue" numFmtId="0">
      <sharedItems containsSemiMixedTypes="0" containsString="0" containsNumber="1" containsInteger="1" minValue="11598" maxValue="65965"/>
    </cacheField>
  </cacheFields>
  <extLst>
    <ext xmlns:x14="http://schemas.microsoft.com/office/spreadsheetml/2009/9/main" uri="{725AE2AE-9491-48be-B2B4-4EB974FC3084}">
      <x14:pivotCacheDefinition pivotCacheId="130628401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x v="0"/>
    <n v="44196"/>
  </r>
  <r>
    <x v="0"/>
    <x v="0"/>
    <x v="1"/>
    <n v="20898"/>
  </r>
  <r>
    <x v="0"/>
    <x v="0"/>
    <x v="2"/>
    <n v="46994"/>
  </r>
  <r>
    <x v="0"/>
    <x v="0"/>
    <x v="3"/>
    <n v="43695"/>
  </r>
  <r>
    <x v="0"/>
    <x v="0"/>
    <x v="4"/>
    <n v="34196"/>
  </r>
  <r>
    <x v="0"/>
    <x v="1"/>
    <x v="0"/>
    <n v="34155"/>
  </r>
  <r>
    <x v="0"/>
    <x v="1"/>
    <x v="1"/>
    <n v="24396"/>
  </r>
  <r>
    <x v="0"/>
    <x v="1"/>
    <x v="2"/>
    <n v="29276"/>
  </r>
  <r>
    <x v="0"/>
    <x v="1"/>
    <x v="3"/>
    <n v="45540"/>
  </r>
  <r>
    <x v="0"/>
    <x v="1"/>
    <x v="4"/>
    <n v="29277"/>
  </r>
  <r>
    <x v="0"/>
    <x v="2"/>
    <x v="0"/>
    <n v="44675"/>
  </r>
  <r>
    <x v="0"/>
    <x v="2"/>
    <x v="1"/>
    <n v="42569"/>
  </r>
  <r>
    <x v="0"/>
    <x v="2"/>
    <x v="2"/>
    <n v="43784"/>
  </r>
  <r>
    <x v="0"/>
    <x v="2"/>
    <x v="3"/>
    <n v="46336"/>
  </r>
  <r>
    <x v="0"/>
    <x v="2"/>
    <x v="4"/>
    <n v="49656"/>
  </r>
  <r>
    <x v="1"/>
    <x v="0"/>
    <x v="0"/>
    <n v="24325"/>
  </r>
  <r>
    <x v="1"/>
    <x v="0"/>
    <x v="1"/>
    <n v="33681"/>
  </r>
  <r>
    <x v="1"/>
    <x v="0"/>
    <x v="2"/>
    <n v="39295"/>
  </r>
  <r>
    <x v="1"/>
    <x v="0"/>
    <x v="3"/>
    <n v="59878"/>
  </r>
  <r>
    <x v="1"/>
    <x v="0"/>
    <x v="4"/>
    <n v="29938"/>
  </r>
  <r>
    <x v="1"/>
    <x v="1"/>
    <x v="0"/>
    <n v="52311"/>
  </r>
  <r>
    <x v="1"/>
    <x v="1"/>
    <x v="1"/>
    <n v="31955"/>
  </r>
  <r>
    <x v="1"/>
    <x v="1"/>
    <x v="2"/>
    <n v="31955"/>
  </r>
  <r>
    <x v="1"/>
    <x v="1"/>
    <x v="3"/>
    <n v="31955"/>
  </r>
  <r>
    <x v="1"/>
    <x v="1"/>
    <x v="4"/>
    <n v="11598"/>
  </r>
  <r>
    <x v="1"/>
    <x v="2"/>
    <x v="0"/>
    <n v="53963"/>
  </r>
  <r>
    <x v="1"/>
    <x v="2"/>
    <x v="1"/>
    <n v="65965"/>
  </r>
  <r>
    <x v="1"/>
    <x v="2"/>
    <x v="2"/>
    <n v="19989"/>
  </r>
  <r>
    <x v="1"/>
    <x v="2"/>
    <x v="3"/>
    <n v="39979"/>
  </r>
  <r>
    <x v="1"/>
    <x v="2"/>
    <x v="4"/>
    <n v="1999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207CE2-0098-442F-88A3-EB99B27BAB48}" name="mypivot" cacheId="0" applyNumberFormats="0" applyBorderFormats="0" applyFontFormats="0" applyPatternFormats="0" applyAlignmentFormats="0" applyWidthHeightFormats="1" dataCaption="Values" grandTotalCaption=" Total" updatedVersion="7" minRefreshableVersion="3" colGrandTotals="0" itemPrintTitles="1" createdVersion="7" indent="0" showHeaders="0" outline="1" outlineData="1" multipleFieldFilters="0">
  <location ref="P8:V13" firstHeaderRow="0" firstDataRow="2" firstDataCol="1"/>
  <pivotFields count="4">
    <pivotField axis="axisCol" showAll="0">
      <items count="3">
        <item x="0"/>
        <item x="1"/>
        <item t="default"/>
      </items>
    </pivotField>
    <pivotField axis="axisRow" showAll="0" defaultSubtotal="0">
      <items count="3">
        <item x="2"/>
        <item x="1"/>
        <item x="0"/>
      </items>
    </pivotField>
    <pivotField showAll="0">
      <items count="6">
        <item h="1" x="2"/>
        <item x="4"/>
        <item h="1" x="3"/>
        <item h="1" x="0"/>
        <item h="1" x="1"/>
        <item t="default"/>
      </items>
    </pivotField>
    <pivotField dataField="1" showAll="0"/>
  </pivotFields>
  <rowFields count="1">
    <field x="1"/>
  </rowFields>
  <rowItems count="4">
    <i>
      <x/>
    </i>
    <i>
      <x v="1"/>
    </i>
    <i>
      <x v="2"/>
    </i>
    <i t="grand">
      <x/>
    </i>
  </rowItems>
  <colFields count="2">
    <field x="0"/>
    <field x="-2"/>
  </colFields>
  <colItems count="6">
    <i>
      <x/>
      <x/>
    </i>
    <i r="1" i="1">
      <x v="1"/>
    </i>
    <i r="1" i="2">
      <x v="2"/>
    </i>
    <i>
      <x v="1"/>
      <x/>
    </i>
    <i r="1" i="1">
      <x v="1"/>
    </i>
    <i r="1" i="2">
      <x v="2"/>
    </i>
  </colItems>
  <dataFields count="3">
    <dataField name=" Revenue" fld="3" baseField="0" baseItem="0" numFmtId="166"/>
    <dataField name="% ▲ PY" fld="3" showDataAs="percentDiff" baseField="0" baseItem="1" numFmtId="10"/>
    <dataField name=" " fld="3" showDataAs="percentDiff" baseField="0" baseItem="1" numFmtId="10"/>
  </dataFields>
  <formats count="27">
    <format dxfId="26">
      <pivotArea outline="0" collapsedLevelsAreSubtotals="1" fieldPosition="0"/>
    </format>
    <format dxfId="25">
      <pivotArea outline="0" fieldPosition="0">
        <references count="1">
          <reference field="4294967294" count="1">
            <x v="1"/>
          </reference>
        </references>
      </pivotArea>
    </format>
    <format dxfId="24">
      <pivotArea type="all" dataOnly="0" outline="0" fieldPosition="0"/>
    </format>
    <format dxfId="23">
      <pivotArea dataOnly="0" labelOnly="1" fieldPosition="0">
        <references count="1">
          <reference field="0" count="0"/>
        </references>
      </pivotArea>
    </format>
    <format dxfId="22">
      <pivotArea outline="0" collapsedLevelsAreSubtotals="1" fieldPosition="0">
        <references count="2">
          <reference field="4294967294" count="2" selected="0">
            <x v="0"/>
            <x v="1"/>
          </reference>
          <reference field="0" count="1" selected="0">
            <x v="0"/>
          </reference>
        </references>
      </pivotArea>
    </format>
    <format dxfId="21">
      <pivotArea outline="0" collapsedLevelsAreSubtotals="1" fieldPosition="0">
        <references count="2">
          <reference field="4294967294" count="1" selected="0">
            <x v="0"/>
          </reference>
          <reference field="0" count="1" selected="0">
            <x v="1"/>
          </reference>
        </references>
      </pivotArea>
    </format>
    <format dxfId="20">
      <pivotArea outline="0" fieldPosition="0">
        <references count="1">
          <reference field="4294967294" count="1">
            <x v="2"/>
          </reference>
        </references>
      </pivotArea>
    </format>
    <format dxfId="19">
      <pivotArea outline="0" collapsedLevelsAreSubtotals="1" fieldPosition="0">
        <references count="2">
          <reference field="4294967294" count="1" selected="0">
            <x v="1"/>
          </reference>
          <reference field="0" count="1" selected="0">
            <x v="0"/>
          </reference>
        </references>
      </pivotArea>
    </format>
    <format dxfId="18">
      <pivotArea type="all" dataOnly="0" outline="0" fieldPosition="0"/>
    </format>
    <format dxfId="17">
      <pivotArea outline="0" collapsedLevelsAreSubtotals="1" fieldPosition="0">
        <references count="2">
          <reference field="4294967294" count="1" selected="0">
            <x v="2"/>
          </reference>
          <reference field="0" count="1" selected="0">
            <x v="0"/>
          </reference>
        </references>
      </pivotArea>
    </format>
    <format dxfId="16">
      <pivotArea outline="0" collapsedLevelsAreSubtotals="1" fieldPosition="0">
        <references count="2">
          <reference field="4294967294" count="1" selected="0">
            <x v="2"/>
          </reference>
          <reference field="0" count="1" selected="0">
            <x v="0"/>
          </reference>
        </references>
      </pivotArea>
    </format>
    <format dxfId="15">
      <pivotArea dataOnly="0" labelOnly="1" fieldPosition="0">
        <references count="1">
          <reference field="0" count="0"/>
        </references>
      </pivotArea>
    </format>
    <format dxfId="14">
      <pivotArea grandRow="1" outline="0" collapsedLevelsAreSubtotals="1" fieldPosition="0"/>
    </format>
    <format dxfId="13">
      <pivotArea dataOnly="0" labelOnly="1" grandRow="1" outline="0" fieldPosition="0"/>
    </format>
    <format dxfId="12">
      <pivotArea grandRow="1" outline="0" collapsedLevelsAreSubtotals="1" fieldPosition="0"/>
    </format>
    <format dxfId="11">
      <pivotArea dataOnly="0" labelOnly="1" grandRow="1" outline="0" fieldPosition="0"/>
    </format>
    <format dxfId="10">
      <pivotArea dataOnly="0" labelOnly="1" fieldPosition="0">
        <references count="1">
          <reference field="0" count="0"/>
        </references>
      </pivotArea>
    </format>
    <format dxfId="9">
      <pivotArea grandRow="1" outline="0" collapsedLevelsAreSubtotals="1" fieldPosition="0"/>
    </format>
    <format dxfId="8">
      <pivotArea dataOnly="0" labelOnly="1" grandRow="1" outline="0" fieldPosition="0"/>
    </format>
    <format dxfId="7">
      <pivotArea field="0" grandRow="1" outline="0" collapsedLevelsAreSubtotals="1" axis="axisCol" fieldPosition="0">
        <references count="2">
          <reference field="4294967294" count="1" selected="0">
            <x v="0"/>
          </reference>
          <reference field="0" count="1" selected="0">
            <x v="0"/>
          </reference>
        </references>
      </pivotArea>
    </format>
    <format dxfId="6">
      <pivotArea field="0" grandRow="1" outline="0" collapsedLevelsAreSubtotals="1" axis="axisCol" fieldPosition="0">
        <references count="2">
          <reference field="4294967294" count="1" selected="0">
            <x v="1"/>
          </reference>
          <reference field="0" count="1" selected="0">
            <x v="0"/>
          </reference>
        </references>
      </pivotArea>
    </format>
    <format dxfId="5">
      <pivotArea field="0" grandRow="1" outline="0" collapsedLevelsAreSubtotals="1" axis="axisCol" fieldPosition="0">
        <references count="2">
          <reference field="4294967294" count="1" selected="0">
            <x v="2"/>
          </reference>
          <reference field="0" count="1" selected="0">
            <x v="0"/>
          </reference>
        </references>
      </pivotArea>
    </format>
    <format dxfId="4">
      <pivotArea field="0" grandRow="1" outline="0" collapsedLevelsAreSubtotals="1" axis="axisCol" fieldPosition="0">
        <references count="2">
          <reference field="4294967294" count="1" selected="0">
            <x v="2"/>
          </reference>
          <reference field="0" count="1" selected="0">
            <x v="0"/>
          </reference>
        </references>
      </pivotArea>
    </format>
    <format dxfId="3">
      <pivotArea grandRow="1" outline="0" collapsedLevelsAreSubtotals="1" fieldPosition="0"/>
    </format>
    <format dxfId="2">
      <pivotArea dataOnly="0" labelOnly="1" grandRow="1" outline="0" fieldPosition="0"/>
    </format>
    <format dxfId="1">
      <pivotArea collapsedLevelsAreSubtotals="1" fieldPosition="0">
        <references count="3">
          <reference field="4294967294" count="1" selected="0">
            <x v="0"/>
          </reference>
          <reference field="0" count="1" selected="0">
            <x v="0"/>
          </reference>
          <reference field="1" count="0"/>
        </references>
      </pivotArea>
    </format>
    <format dxfId="0">
      <pivotArea collapsedLevelsAreSubtotals="1" fieldPosition="0">
        <references count="3">
          <reference field="4294967294" count="1" selected="0">
            <x v="0"/>
          </reference>
          <reference field="0" count="1" selected="0">
            <x v="1"/>
          </reference>
          <reference field="1" count="0"/>
        </references>
      </pivotArea>
    </format>
  </formats>
  <pivotTableStyleInfo name="Slicer Pivot 2" showRowHeaders="1" showColHeaders="1" showRowStripes="0" showColStripes="0" showLastColumn="1"/>
  <extLst>
    <ext xmlns:x14="http://schemas.microsoft.com/office/spreadsheetml/2009/9/main" uri="{962EF5D1-5CA2-4c93-8EF4-DBF5C05439D2}">
      <x14:pivotTableDefinition xmlns:xm="http://schemas.microsoft.com/office/excel/2006/main" hideValuesRow="1">
        <x14:conditionalFormats count="2">
          <x14:conditionalFormat priority="2" id="{1F122956-8AEF-4FF7-AD7E-7AB2B9B22796}">
            <x14:pivotAreas count="2">
              <pivotArea type="data" collapsedLevelsAreSubtotals="1" fieldPosition="0">
                <references count="3">
                  <reference field="4294967294" count="1" selected="0">
                    <x v="2"/>
                  </reference>
                  <reference field="0" count="1" selected="0">
                    <x v="0"/>
                  </reference>
                  <reference field="1" count="3">
                    <x v="0"/>
                    <x v="1"/>
                    <x v="2"/>
                  </reference>
                </references>
              </pivotArea>
              <pivotArea type="data" collapsedLevelsAreSubtotals="1" fieldPosition="0">
                <references count="3">
                  <reference field="4294967294" count="1" selected="0">
                    <x v="2"/>
                  </reference>
                  <reference field="0" count="1" selected="0">
                    <x v="1"/>
                  </reference>
                  <reference field="1" count="3">
                    <x v="0"/>
                    <x v="1"/>
                    <x v="2"/>
                  </reference>
                </references>
              </pivotArea>
            </x14:pivotAreas>
          </x14:conditionalFormat>
          <x14:conditionalFormat priority="1" id="{56A9650C-471E-43C5-A5BE-B3B30B739C01}">
            <x14:pivotAreas count="1">
              <pivotArea type="data" grandRow="1" outline="0" collapsedLevelsAreSubtotals="1" fieldPosition="0">
                <references count="2">
                  <reference field="4294967294" count="1" selected="0">
                    <x v="2"/>
                  </reference>
                  <reference field="0" count="1" selected="0">
                    <x v="0"/>
                  </reference>
                </references>
              </pivotArea>
            </x14:pivotAreas>
          </x14:conditionalFormat>
        </x14:conditionalFormats>
      </x14:pivotTableDefinition>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ED570A3-53B5-42B5-8BFD-0EDD329AEE84}" name="pivotregion" cacheId="0" applyNumberFormats="0" applyBorderFormats="0" applyFontFormats="0" applyPatternFormats="0" applyAlignmentFormats="0" applyWidthHeightFormats="1" dataCaption="Values" updatedVersion="7" minRefreshableVersion="3" useAutoFormatting="1" rowGrandTotals="0" itemPrintTitles="1" createdVersion="7" indent="0" outline="1" outlineData="1" multipleFieldFilters="0">
  <location ref="A4:A5" firstHeaderRow="1" firstDataRow="1" firstDataCol="1"/>
  <pivotFields count="4">
    <pivotField showAll="0"/>
    <pivotField axis="axisRow" showAll="0" defaultSubtotal="0">
      <items count="3">
        <item x="2"/>
        <item h="1" x="1"/>
        <item h="1" x="0"/>
      </items>
    </pivotField>
    <pivotField showAll="0"/>
    <pivotField showAll="0"/>
  </pivotFields>
  <rowFields count="1">
    <field x="1"/>
  </rowFields>
  <rowItems count="1">
    <i>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vision" xr10:uid="{67AA617E-C2B8-4AF9-9E9D-D0CDF671F499}" sourceName="Division">
  <pivotTables>
    <pivotTable tabId="3" name="pivotregion"/>
  </pivotTables>
  <data>
    <tabular pivotCacheId="1306284016">
      <items count="3">
        <i x="2" s="1"/>
        <i x="1"/>
        <i x="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CE1AA44-443B-474A-82C6-3812FCD9BCB9}" sourceName="Region">
  <pivotTables>
    <pivotTable tabId="3" name="mypivot"/>
  </pivotTables>
  <data>
    <tabular pivotCacheId="1306284016">
      <items count="5">
        <i x="2"/>
        <i x="4" s="1"/>
        <i x="3"/>
        <i x="0"/>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vision" xr10:uid="{0AC88E28-62F2-4672-8851-AF966DED1574}" cache="Slicer_Division" caption="Division" showCaption="0" style="Slicer_Dashboard" rowHeight="234950"/>
  <slicer name="Region" xr10:uid="{EB4CC249-A8DF-46AE-B3ED-17AD4316E0B3}" cache="Slicer_Region" caption="Region" style="Slicer_Dashboard"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awData" displayName="RawData" ref="A1:D31" totalsRowShown="0" headerRowDxfId="27">
  <autoFilter ref="A1:D31" xr:uid="{00000000-0009-0000-0100-000001000000}"/>
  <tableColumns count="4">
    <tableColumn id="1" xr3:uid="{00000000-0010-0000-0000-000001000000}" name="Year"/>
    <tableColumn id="2" xr3:uid="{00000000-0010-0000-0000-000002000000}" name="Division"/>
    <tableColumn id="3" xr3:uid="{00000000-0010-0000-0000-000003000000}" name="Region"/>
    <tableColumn id="4" xr3:uid="{00000000-0010-0000-0000-000004000000}" name="Revenue"/>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U28"/>
  <sheetViews>
    <sheetView tabSelected="1" zoomScale="70" zoomScaleNormal="70" zoomScaleSheetLayoutView="120" workbookViewId="0">
      <selection activeCell="J15" sqref="J15"/>
    </sheetView>
  </sheetViews>
  <sheetFormatPr defaultColWidth="0" defaultRowHeight="14.4" zeroHeight="1" x14ac:dyDescent="0.3"/>
  <cols>
    <col min="1" max="10" width="9.109375" customWidth="1"/>
    <col min="11" max="11" width="15.109375" customWidth="1"/>
    <col min="12" max="12" width="7" customWidth="1"/>
    <col min="13" max="13" width="7.44140625" bestFit="1" customWidth="1"/>
    <col min="14" max="14" width="1.44140625" bestFit="1" customWidth="1"/>
    <col min="15" max="15" width="8.88671875" bestFit="1" customWidth="1"/>
    <col min="16" max="16" width="9.109375" hidden="1" customWidth="1"/>
    <col min="17" max="17" width="4.88671875" hidden="1" customWidth="1"/>
    <col min="18" max="18" width="2.44140625" customWidth="1"/>
    <col min="19" max="19" width="1.21875" customWidth="1"/>
    <col min="20" max="21" width="0" hidden="1" customWidth="1"/>
    <col min="22" max="16384" width="9.109375" hidden="1"/>
  </cols>
  <sheetData>
    <row r="1" spans="1:19" x14ac:dyDescent="0.3">
      <c r="A1" s="9"/>
      <c r="B1" s="9"/>
      <c r="C1" s="9"/>
      <c r="D1" s="9"/>
      <c r="E1" s="9"/>
      <c r="F1" s="9"/>
      <c r="G1" s="9"/>
      <c r="H1" s="9"/>
      <c r="I1" s="9"/>
      <c r="J1" s="9"/>
      <c r="K1" s="9"/>
      <c r="L1" s="9"/>
      <c r="M1" s="9"/>
      <c r="N1" s="9"/>
      <c r="O1" s="9"/>
      <c r="P1" s="9"/>
      <c r="Q1" s="9"/>
      <c r="R1" s="9"/>
      <c r="S1" s="9"/>
    </row>
    <row r="2" spans="1:19" x14ac:dyDescent="0.3">
      <c r="A2" s="9"/>
      <c r="B2" s="9"/>
      <c r="C2" s="9"/>
      <c r="D2" s="9"/>
      <c r="E2" s="9"/>
      <c r="F2" s="9"/>
      <c r="G2" s="9"/>
      <c r="H2" s="9"/>
      <c r="I2" s="9"/>
      <c r="J2" s="9"/>
      <c r="K2" s="9"/>
      <c r="L2" s="9"/>
      <c r="M2" s="9"/>
      <c r="N2" s="9"/>
      <c r="O2" s="9"/>
      <c r="P2" s="9"/>
      <c r="Q2" s="9"/>
      <c r="R2" s="9"/>
      <c r="S2" s="9"/>
    </row>
    <row r="3" spans="1:19" x14ac:dyDescent="0.3">
      <c r="A3" s="9"/>
      <c r="B3" s="9"/>
      <c r="C3" s="9"/>
      <c r="D3" s="9"/>
      <c r="E3" s="9"/>
      <c r="F3" s="9"/>
      <c r="G3" s="9"/>
      <c r="H3" s="9"/>
      <c r="I3" s="9"/>
      <c r="J3" s="9"/>
      <c r="K3" s="9"/>
      <c r="L3" s="9"/>
      <c r="M3" s="9"/>
      <c r="N3" s="9"/>
      <c r="O3" s="9"/>
      <c r="P3" s="9"/>
      <c r="Q3" s="9"/>
      <c r="R3" s="9"/>
      <c r="S3" s="9"/>
    </row>
    <row r="4" spans="1:19" ht="8.25" customHeight="1" x14ac:dyDescent="0.3">
      <c r="A4" s="9"/>
      <c r="B4" s="9"/>
      <c r="C4" s="9"/>
      <c r="D4" s="9"/>
      <c r="E4" s="9"/>
      <c r="F4" s="9"/>
      <c r="G4" s="9"/>
      <c r="H4" s="9"/>
      <c r="I4" s="9"/>
      <c r="J4" s="9"/>
      <c r="K4" s="9"/>
      <c r="L4" s="9"/>
      <c r="M4" s="9"/>
      <c r="N4" s="9"/>
      <c r="O4" s="9"/>
      <c r="P4" s="9"/>
      <c r="Q4" s="9"/>
      <c r="R4" s="9"/>
      <c r="S4" s="9"/>
    </row>
    <row r="5" spans="1:19" x14ac:dyDescent="0.3">
      <c r="A5" s="9"/>
      <c r="B5" s="9"/>
      <c r="C5" s="9"/>
      <c r="D5" s="9"/>
      <c r="E5" s="9"/>
      <c r="F5" s="9"/>
      <c r="G5" s="9"/>
      <c r="H5" s="9"/>
      <c r="I5" s="9"/>
      <c r="J5" s="9"/>
      <c r="K5" s="9"/>
      <c r="L5" s="9"/>
      <c r="M5" s="9"/>
      <c r="N5" s="9"/>
      <c r="O5" s="9"/>
      <c r="P5" s="9"/>
      <c r="Q5" s="9"/>
      <c r="R5" s="9"/>
      <c r="S5" s="9"/>
    </row>
    <row r="6" spans="1:19" x14ac:dyDescent="0.3">
      <c r="A6" s="9"/>
      <c r="B6" s="9"/>
      <c r="C6" s="10" t="str">
        <f>IF(COUNTA(Calculation!A5:A7)&gt;1,"Please Only select 1 Division","")</f>
        <v/>
      </c>
      <c r="D6" s="9"/>
      <c r="E6" s="9"/>
      <c r="F6" s="9"/>
      <c r="G6" s="9"/>
      <c r="H6" s="9"/>
      <c r="I6" s="9"/>
      <c r="J6" s="9"/>
      <c r="K6" s="9"/>
      <c r="L6" s="9"/>
      <c r="M6" s="9"/>
      <c r="N6" s="9"/>
      <c r="O6" s="9"/>
      <c r="P6" s="9"/>
      <c r="Q6" s="9"/>
      <c r="R6" s="9"/>
      <c r="S6" s="9"/>
    </row>
    <row r="7" spans="1:19" x14ac:dyDescent="0.3">
      <c r="A7" s="9"/>
      <c r="B7" s="9"/>
      <c r="C7" s="9"/>
      <c r="D7" s="9"/>
      <c r="E7" s="9"/>
      <c r="F7" s="9" t="s">
        <v>21</v>
      </c>
      <c r="G7" s="9"/>
      <c r="H7" s="9"/>
      <c r="I7" s="9"/>
      <c r="J7" s="9"/>
      <c r="K7" s="9"/>
      <c r="L7" s="9"/>
      <c r="M7" s="9"/>
      <c r="N7" s="9"/>
      <c r="O7" s="9"/>
      <c r="P7" s="9"/>
      <c r="Q7" s="9"/>
      <c r="R7" s="9"/>
      <c r="S7" s="9"/>
    </row>
    <row r="8" spans="1:19" x14ac:dyDescent="0.3">
      <c r="A8" s="9"/>
      <c r="B8" s="9"/>
      <c r="C8" s="9"/>
      <c r="D8" s="9"/>
      <c r="E8" s="9"/>
      <c r="F8" s="9"/>
      <c r="G8" s="9"/>
      <c r="H8" s="9"/>
      <c r="I8" s="9"/>
      <c r="J8" s="9"/>
      <c r="K8" s="9"/>
      <c r="L8" s="9"/>
      <c r="M8" s="9"/>
      <c r="N8" s="9"/>
      <c r="O8" s="9"/>
      <c r="P8" s="9"/>
      <c r="Q8" s="9"/>
      <c r="R8" s="9"/>
      <c r="S8" s="9"/>
    </row>
    <row r="9" spans="1:19" x14ac:dyDescent="0.3">
      <c r="A9" s="9"/>
      <c r="B9" s="9"/>
      <c r="C9" s="9"/>
      <c r="D9" s="9"/>
      <c r="E9" s="9"/>
      <c r="F9" s="9"/>
      <c r="G9" s="9"/>
      <c r="H9" s="9"/>
      <c r="I9" s="9"/>
      <c r="J9" s="9"/>
      <c r="K9" s="9"/>
      <c r="L9" s="9"/>
      <c r="M9" s="9"/>
      <c r="N9" s="9"/>
      <c r="O9" s="9"/>
      <c r="P9" s="9"/>
      <c r="Q9" s="9"/>
      <c r="R9" s="9"/>
      <c r="S9" s="9"/>
    </row>
    <row r="10" spans="1:19" x14ac:dyDescent="0.3">
      <c r="A10" s="9"/>
      <c r="B10" s="9"/>
      <c r="C10" s="9"/>
      <c r="D10" s="9"/>
      <c r="E10" s="9"/>
      <c r="F10" s="9"/>
      <c r="G10" s="9"/>
      <c r="H10" s="9"/>
      <c r="I10" s="9"/>
      <c r="J10" s="9"/>
      <c r="K10" s="9"/>
      <c r="L10" s="9"/>
      <c r="M10" s="9"/>
      <c r="N10" s="9"/>
      <c r="O10" s="9"/>
      <c r="P10" s="9"/>
      <c r="Q10" s="9"/>
      <c r="R10" s="9"/>
      <c r="S10" s="9"/>
    </row>
    <row r="11" spans="1:19" x14ac:dyDescent="0.3">
      <c r="A11" s="9"/>
      <c r="B11" s="9"/>
      <c r="C11" s="9"/>
      <c r="D11" s="9"/>
      <c r="E11" s="9"/>
      <c r="F11" s="9"/>
      <c r="G11" s="9"/>
      <c r="H11" s="9"/>
      <c r="I11" s="9"/>
      <c r="J11" s="9"/>
      <c r="K11" s="9"/>
      <c r="L11" s="9"/>
      <c r="M11" s="9"/>
      <c r="N11" s="9"/>
      <c r="O11" s="9"/>
      <c r="P11" s="9"/>
      <c r="Q11" s="9"/>
      <c r="R11" s="9"/>
      <c r="S11" s="9"/>
    </row>
    <row r="12" spans="1:19" x14ac:dyDescent="0.3">
      <c r="A12" s="9"/>
      <c r="B12" s="9"/>
      <c r="C12" s="9"/>
      <c r="D12" s="9"/>
      <c r="E12" s="9"/>
      <c r="F12" s="9"/>
      <c r="G12" s="9"/>
      <c r="H12" s="9"/>
      <c r="I12" s="9"/>
      <c r="J12" s="9"/>
      <c r="K12" s="9"/>
      <c r="L12" s="9"/>
      <c r="M12" s="9"/>
      <c r="N12" s="9"/>
      <c r="O12" s="9"/>
      <c r="P12" s="9"/>
      <c r="Q12" s="9"/>
      <c r="R12" s="9"/>
      <c r="S12" s="9"/>
    </row>
    <row r="13" spans="1:19" x14ac:dyDescent="0.3">
      <c r="A13" s="9"/>
      <c r="B13" s="9"/>
      <c r="C13" s="9"/>
      <c r="D13" s="9"/>
      <c r="E13" s="9"/>
      <c r="F13" s="9"/>
      <c r="G13" s="9"/>
      <c r="H13" s="9"/>
      <c r="I13" s="9"/>
      <c r="J13" s="9"/>
      <c r="K13" s="9"/>
      <c r="L13" s="9"/>
      <c r="M13" s="9"/>
      <c r="N13" s="9"/>
      <c r="O13" s="9"/>
      <c r="P13" s="9"/>
      <c r="Q13" s="9"/>
      <c r="R13" s="9"/>
      <c r="S13" s="9"/>
    </row>
    <row r="14" spans="1:19" x14ac:dyDescent="0.3">
      <c r="A14" s="9"/>
      <c r="B14" s="9"/>
      <c r="C14" s="9"/>
      <c r="D14" s="9"/>
      <c r="E14" s="9"/>
      <c r="F14" s="9"/>
      <c r="G14" s="9"/>
      <c r="H14" s="9"/>
      <c r="I14" s="9"/>
      <c r="J14" s="9"/>
      <c r="K14" s="9"/>
      <c r="L14" s="9"/>
      <c r="M14" s="9"/>
      <c r="N14" s="9"/>
      <c r="O14" s="9"/>
      <c r="P14" s="9"/>
      <c r="Q14" s="9"/>
      <c r="R14" s="9"/>
      <c r="S14" s="9"/>
    </row>
    <row r="15" spans="1:19" x14ac:dyDescent="0.3">
      <c r="A15" s="9"/>
      <c r="B15" s="9"/>
      <c r="C15" s="9"/>
      <c r="D15" s="9"/>
      <c r="E15" s="9"/>
      <c r="F15" s="9"/>
      <c r="G15" s="9"/>
      <c r="H15" s="9"/>
      <c r="I15" s="9"/>
      <c r="J15" s="9"/>
      <c r="K15" s="9"/>
      <c r="L15" s="9"/>
      <c r="M15" s="9"/>
      <c r="N15" s="9"/>
      <c r="O15" s="9"/>
      <c r="P15" s="9"/>
      <c r="Q15" s="9"/>
      <c r="R15" s="9"/>
      <c r="S15" s="9"/>
    </row>
    <row r="16" spans="1:19" x14ac:dyDescent="0.3">
      <c r="A16" s="9"/>
      <c r="B16" s="9"/>
      <c r="C16" s="9"/>
      <c r="D16" s="9"/>
      <c r="E16" s="9"/>
      <c r="F16" s="9"/>
      <c r="G16" s="9"/>
      <c r="H16" s="9"/>
      <c r="I16" s="9"/>
      <c r="J16" s="9"/>
      <c r="K16" s="9"/>
      <c r="L16" s="9"/>
      <c r="M16" s="9"/>
      <c r="N16" s="9"/>
      <c r="O16" s="9"/>
      <c r="P16" s="9"/>
      <c r="Q16" s="9"/>
      <c r="R16" s="9"/>
      <c r="S16" s="9"/>
    </row>
    <row r="17" spans="1:19" x14ac:dyDescent="0.3">
      <c r="A17" s="9"/>
      <c r="B17" s="9"/>
      <c r="C17" s="9"/>
      <c r="D17" s="9"/>
      <c r="E17" s="9"/>
      <c r="F17" s="9"/>
      <c r="G17" s="9"/>
      <c r="H17" s="9"/>
      <c r="I17" s="9"/>
      <c r="J17" s="9"/>
      <c r="K17" s="9"/>
      <c r="L17" s="9"/>
      <c r="M17" s="9"/>
      <c r="N17" s="9"/>
      <c r="O17" s="9"/>
      <c r="P17" s="9"/>
      <c r="Q17" s="9"/>
      <c r="R17" s="9"/>
      <c r="S17" s="9"/>
    </row>
    <row r="18" spans="1:19" x14ac:dyDescent="0.3">
      <c r="A18" s="9"/>
      <c r="B18" s="9"/>
      <c r="C18" s="9"/>
      <c r="D18" s="9"/>
      <c r="E18" s="9"/>
      <c r="F18" s="9"/>
      <c r="G18" s="9"/>
      <c r="H18" s="9"/>
      <c r="I18" s="9"/>
      <c r="J18" s="9"/>
      <c r="K18" s="9"/>
      <c r="L18" s="9"/>
      <c r="M18" s="9"/>
      <c r="N18" s="9"/>
      <c r="O18" s="9"/>
      <c r="P18" s="9"/>
      <c r="Q18" s="9"/>
      <c r="R18" s="9"/>
      <c r="S18" s="9"/>
    </row>
    <row r="19" spans="1:19" x14ac:dyDescent="0.3">
      <c r="A19" s="9"/>
      <c r="B19" s="9"/>
      <c r="C19" s="9"/>
      <c r="D19" s="9"/>
      <c r="E19" s="9"/>
      <c r="F19" s="9"/>
      <c r="G19" s="9"/>
      <c r="H19" s="9"/>
      <c r="I19" s="9"/>
      <c r="J19" s="9"/>
      <c r="K19" s="9"/>
      <c r="L19" s="9"/>
      <c r="M19" s="9"/>
      <c r="N19" s="9"/>
      <c r="O19" s="9"/>
      <c r="P19" s="9"/>
      <c r="Q19" s="9"/>
      <c r="R19" s="9"/>
      <c r="S19" s="9"/>
    </row>
    <row r="20" spans="1:19" x14ac:dyDescent="0.3">
      <c r="A20" s="9"/>
      <c r="B20" s="9"/>
      <c r="C20" s="9"/>
      <c r="D20" s="9"/>
      <c r="E20" s="9"/>
      <c r="F20" s="9"/>
      <c r="G20" s="9"/>
      <c r="H20" s="9"/>
      <c r="I20" s="9"/>
      <c r="J20" s="9"/>
      <c r="K20" s="9"/>
      <c r="L20" s="9"/>
      <c r="M20" s="9"/>
      <c r="N20" s="9"/>
      <c r="O20" s="9"/>
      <c r="P20" s="9"/>
      <c r="Q20" s="9"/>
      <c r="R20" s="9"/>
      <c r="S20" s="9"/>
    </row>
    <row r="21" spans="1:19" x14ac:dyDescent="0.3">
      <c r="A21" s="9"/>
      <c r="B21" s="9"/>
      <c r="C21" s="9"/>
      <c r="D21" s="9"/>
      <c r="E21" s="9"/>
      <c r="F21" s="9"/>
      <c r="G21" s="9"/>
      <c r="H21" s="9"/>
      <c r="I21" s="9"/>
      <c r="J21" s="9"/>
      <c r="K21" s="9"/>
      <c r="L21" s="9"/>
      <c r="M21" s="9"/>
      <c r="N21" s="9"/>
      <c r="O21" s="9"/>
      <c r="P21" s="9"/>
      <c r="Q21" s="9"/>
      <c r="R21" s="9"/>
      <c r="S21" s="9"/>
    </row>
    <row r="22" spans="1:19" x14ac:dyDescent="0.3">
      <c r="A22" s="9"/>
      <c r="B22" s="9"/>
      <c r="C22" s="9"/>
      <c r="D22" s="9"/>
      <c r="E22" s="9"/>
      <c r="F22" s="9"/>
      <c r="G22" s="9"/>
      <c r="H22" s="9"/>
      <c r="I22" s="9"/>
      <c r="J22" s="9"/>
      <c r="K22" s="9"/>
      <c r="L22" s="9"/>
      <c r="M22" s="9"/>
      <c r="N22" s="9"/>
      <c r="O22" s="9"/>
      <c r="P22" s="9"/>
      <c r="Q22" s="9"/>
      <c r="R22" s="9"/>
      <c r="S22" s="9"/>
    </row>
    <row r="23" spans="1:19" x14ac:dyDescent="0.3">
      <c r="A23" s="9"/>
      <c r="B23" s="9"/>
      <c r="C23" s="9"/>
      <c r="D23" s="9"/>
      <c r="E23" s="9"/>
      <c r="F23" s="9"/>
      <c r="G23" s="9"/>
      <c r="H23" s="9"/>
      <c r="I23" s="9"/>
      <c r="J23" s="9"/>
      <c r="K23" s="9"/>
      <c r="L23" s="9"/>
      <c r="M23" s="9"/>
      <c r="N23" s="9"/>
      <c r="O23" s="9"/>
      <c r="P23" s="9"/>
      <c r="Q23" s="9"/>
      <c r="R23" s="9"/>
      <c r="S23" s="9"/>
    </row>
    <row r="24" spans="1:19" x14ac:dyDescent="0.3">
      <c r="A24" s="9"/>
      <c r="B24" s="9"/>
      <c r="C24" s="9"/>
      <c r="D24" s="9"/>
      <c r="E24" s="9"/>
      <c r="F24" s="9"/>
      <c r="G24" s="9"/>
      <c r="H24" s="9"/>
      <c r="I24" s="9"/>
      <c r="J24" s="9"/>
      <c r="K24" s="9"/>
      <c r="L24" s="9"/>
      <c r="M24" s="9"/>
      <c r="N24" s="9"/>
      <c r="O24" s="9"/>
      <c r="P24" s="9"/>
      <c r="Q24" s="9"/>
      <c r="R24" s="9"/>
      <c r="S24" s="9"/>
    </row>
    <row r="25" spans="1:19" x14ac:dyDescent="0.3">
      <c r="A25" s="9"/>
      <c r="B25" s="9"/>
      <c r="C25" s="9"/>
      <c r="D25" s="9"/>
      <c r="E25" s="9"/>
      <c r="F25" s="9"/>
      <c r="G25" s="9"/>
      <c r="H25" s="9"/>
      <c r="I25" s="9"/>
      <c r="J25" s="9"/>
      <c r="K25" s="9"/>
      <c r="L25" s="9"/>
      <c r="M25" s="9"/>
      <c r="N25" s="9"/>
      <c r="O25" s="9"/>
      <c r="P25" s="9"/>
      <c r="Q25" s="9"/>
      <c r="R25" s="9"/>
      <c r="S25" s="9"/>
    </row>
    <row r="26" spans="1:19" x14ac:dyDescent="0.3">
      <c r="A26" s="9"/>
      <c r="B26" s="9"/>
      <c r="C26" s="9"/>
      <c r="D26" s="9"/>
      <c r="E26" s="9"/>
      <c r="F26" s="9"/>
      <c r="G26" s="9"/>
      <c r="H26" s="9"/>
      <c r="I26" s="9"/>
      <c r="J26" s="9"/>
      <c r="K26" s="9"/>
      <c r="L26" s="9"/>
      <c r="M26" s="9"/>
      <c r="N26" s="9"/>
      <c r="O26" s="9"/>
      <c r="P26" s="9"/>
      <c r="Q26" s="9"/>
      <c r="R26" s="9"/>
      <c r="S26" s="9"/>
    </row>
    <row r="27" spans="1:19" x14ac:dyDescent="0.3">
      <c r="A27" s="9"/>
      <c r="B27" s="9"/>
      <c r="C27" s="9"/>
      <c r="D27" s="9"/>
      <c r="E27" s="9"/>
      <c r="F27" s="9"/>
      <c r="G27" s="9"/>
      <c r="H27" s="9"/>
      <c r="I27" s="9"/>
      <c r="J27" s="9"/>
      <c r="K27" s="9"/>
      <c r="L27" s="9"/>
      <c r="M27" s="9"/>
      <c r="N27" s="9"/>
      <c r="O27" s="9"/>
      <c r="P27" s="9"/>
      <c r="Q27" s="9"/>
      <c r="R27" s="9"/>
      <c r="S27" s="9"/>
    </row>
    <row r="28" spans="1:19" x14ac:dyDescent="0.3">
      <c r="A28" s="9"/>
      <c r="B28" s="9"/>
      <c r="C28" s="9"/>
      <c r="D28" s="9"/>
      <c r="E28" s="9"/>
      <c r="F28" s="9"/>
      <c r="G28" s="9"/>
      <c r="H28" s="9"/>
      <c r="I28" s="9"/>
      <c r="J28" s="9"/>
      <c r="K28" s="9"/>
      <c r="L28" s="9"/>
      <c r="M28" s="9"/>
      <c r="N28" s="9"/>
      <c r="O28" s="9"/>
      <c r="P28" s="9"/>
      <c r="Q28" s="9"/>
      <c r="R28" s="9"/>
      <c r="S28" s="9"/>
    </row>
  </sheetData>
  <sheetProtection sheet="1" objects="1" scenarios="1"/>
  <pageMargins left="0.7" right="0.7" top="0.75" bottom="0.75" header="0.3" footer="0.3"/>
  <pageSetup paperSize="0" scale="97" orientation="landscape" r:id="rId1"/>
  <drawing r:id="rId2"/>
  <legacy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31"/>
  <sheetViews>
    <sheetView workbookViewId="0">
      <selection activeCell="E19" sqref="E19"/>
    </sheetView>
  </sheetViews>
  <sheetFormatPr defaultRowHeight="14.4" x14ac:dyDescent="0.3"/>
  <cols>
    <col min="1" max="1" width="7.109375" bestFit="1" customWidth="1"/>
    <col min="2" max="2" width="10.6640625" bestFit="1" customWidth="1"/>
    <col min="3" max="3" width="12.88671875" bestFit="1" customWidth="1"/>
    <col min="4" max="4" width="10.5546875" bestFit="1" customWidth="1"/>
  </cols>
  <sheetData>
    <row r="1" spans="1:4" x14ac:dyDescent="0.3">
      <c r="A1" s="3" t="s">
        <v>8</v>
      </c>
      <c r="B1" s="3" t="s">
        <v>0</v>
      </c>
      <c r="C1" s="3" t="s">
        <v>1</v>
      </c>
      <c r="D1" s="3" t="s">
        <v>2</v>
      </c>
    </row>
    <row r="2" spans="1:4" x14ac:dyDescent="0.3">
      <c r="A2" t="s">
        <v>9</v>
      </c>
      <c r="B2" t="s">
        <v>13</v>
      </c>
      <c r="C2" t="s">
        <v>3</v>
      </c>
      <c r="D2">
        <v>44196</v>
      </c>
    </row>
    <row r="3" spans="1:4" x14ac:dyDescent="0.3">
      <c r="A3" t="s">
        <v>9</v>
      </c>
      <c r="B3" t="s">
        <v>13</v>
      </c>
      <c r="C3" t="s">
        <v>4</v>
      </c>
      <c r="D3">
        <v>20898</v>
      </c>
    </row>
    <row r="4" spans="1:4" x14ac:dyDescent="0.3">
      <c r="A4" t="s">
        <v>9</v>
      </c>
      <c r="B4" t="s">
        <v>13</v>
      </c>
      <c r="C4" t="s">
        <v>5</v>
      </c>
      <c r="D4">
        <v>46994</v>
      </c>
    </row>
    <row r="5" spans="1:4" x14ac:dyDescent="0.3">
      <c r="A5" t="s">
        <v>9</v>
      </c>
      <c r="B5" t="s">
        <v>13</v>
      </c>
      <c r="C5" t="s">
        <v>6</v>
      </c>
      <c r="D5">
        <v>43695</v>
      </c>
    </row>
    <row r="6" spans="1:4" x14ac:dyDescent="0.3">
      <c r="A6" t="s">
        <v>9</v>
      </c>
      <c r="B6" t="s">
        <v>13</v>
      </c>
      <c r="C6" t="s">
        <v>7</v>
      </c>
      <c r="D6">
        <v>34196</v>
      </c>
    </row>
    <row r="7" spans="1:4" x14ac:dyDescent="0.3">
      <c r="A7" t="s">
        <v>9</v>
      </c>
      <c r="B7" t="s">
        <v>14</v>
      </c>
      <c r="C7" t="s">
        <v>3</v>
      </c>
      <c r="D7">
        <v>34155</v>
      </c>
    </row>
    <row r="8" spans="1:4" x14ac:dyDescent="0.3">
      <c r="A8" t="s">
        <v>9</v>
      </c>
      <c r="B8" t="s">
        <v>14</v>
      </c>
      <c r="C8" t="s">
        <v>4</v>
      </c>
      <c r="D8">
        <v>24396</v>
      </c>
    </row>
    <row r="9" spans="1:4" x14ac:dyDescent="0.3">
      <c r="A9" t="s">
        <v>9</v>
      </c>
      <c r="B9" t="s">
        <v>14</v>
      </c>
      <c r="C9" t="s">
        <v>5</v>
      </c>
      <c r="D9">
        <v>29276</v>
      </c>
    </row>
    <row r="10" spans="1:4" x14ac:dyDescent="0.3">
      <c r="A10" t="s">
        <v>9</v>
      </c>
      <c r="B10" t="s">
        <v>14</v>
      </c>
      <c r="C10" t="s">
        <v>6</v>
      </c>
      <c r="D10">
        <v>45540</v>
      </c>
    </row>
    <row r="11" spans="1:4" x14ac:dyDescent="0.3">
      <c r="A11" t="s">
        <v>9</v>
      </c>
      <c r="B11" t="s">
        <v>14</v>
      </c>
      <c r="C11" t="s">
        <v>7</v>
      </c>
      <c r="D11">
        <v>29277</v>
      </c>
    </row>
    <row r="12" spans="1:4" x14ac:dyDescent="0.3">
      <c r="A12" t="s">
        <v>9</v>
      </c>
      <c r="B12" t="s">
        <v>12</v>
      </c>
      <c r="C12" t="s">
        <v>3</v>
      </c>
      <c r="D12">
        <v>44675</v>
      </c>
    </row>
    <row r="13" spans="1:4" x14ac:dyDescent="0.3">
      <c r="A13" t="s">
        <v>9</v>
      </c>
      <c r="B13" t="s">
        <v>12</v>
      </c>
      <c r="C13" t="s">
        <v>4</v>
      </c>
      <c r="D13">
        <v>42569</v>
      </c>
    </row>
    <row r="14" spans="1:4" x14ac:dyDescent="0.3">
      <c r="A14" t="s">
        <v>9</v>
      </c>
      <c r="B14" t="s">
        <v>12</v>
      </c>
      <c r="C14" t="s">
        <v>5</v>
      </c>
      <c r="D14">
        <v>43784</v>
      </c>
    </row>
    <row r="15" spans="1:4" x14ac:dyDescent="0.3">
      <c r="A15" t="s">
        <v>9</v>
      </c>
      <c r="B15" t="s">
        <v>12</v>
      </c>
      <c r="C15" t="s">
        <v>6</v>
      </c>
      <c r="D15">
        <v>46336</v>
      </c>
    </row>
    <row r="16" spans="1:4" x14ac:dyDescent="0.3">
      <c r="A16" t="s">
        <v>9</v>
      </c>
      <c r="B16" t="s">
        <v>12</v>
      </c>
      <c r="C16" t="s">
        <v>7</v>
      </c>
      <c r="D16">
        <v>49656</v>
      </c>
    </row>
    <row r="17" spans="1:4" x14ac:dyDescent="0.3">
      <c r="A17" t="s">
        <v>10</v>
      </c>
      <c r="B17" t="s">
        <v>13</v>
      </c>
      <c r="C17" t="s">
        <v>3</v>
      </c>
      <c r="D17">
        <v>24325</v>
      </c>
    </row>
    <row r="18" spans="1:4" x14ac:dyDescent="0.3">
      <c r="A18" t="s">
        <v>10</v>
      </c>
      <c r="B18" t="s">
        <v>13</v>
      </c>
      <c r="C18" t="s">
        <v>4</v>
      </c>
      <c r="D18">
        <v>33681</v>
      </c>
    </row>
    <row r="19" spans="1:4" x14ac:dyDescent="0.3">
      <c r="A19" t="s">
        <v>10</v>
      </c>
      <c r="B19" t="s">
        <v>13</v>
      </c>
      <c r="C19" t="s">
        <v>5</v>
      </c>
      <c r="D19">
        <v>39295</v>
      </c>
    </row>
    <row r="20" spans="1:4" x14ac:dyDescent="0.3">
      <c r="A20" t="s">
        <v>10</v>
      </c>
      <c r="B20" t="s">
        <v>13</v>
      </c>
      <c r="C20" t="s">
        <v>6</v>
      </c>
      <c r="D20">
        <v>59878</v>
      </c>
    </row>
    <row r="21" spans="1:4" x14ac:dyDescent="0.3">
      <c r="A21" t="s">
        <v>10</v>
      </c>
      <c r="B21" t="s">
        <v>13</v>
      </c>
      <c r="C21" t="s">
        <v>7</v>
      </c>
      <c r="D21">
        <v>29938</v>
      </c>
    </row>
    <row r="22" spans="1:4" x14ac:dyDescent="0.3">
      <c r="A22" t="s">
        <v>10</v>
      </c>
      <c r="B22" t="s">
        <v>14</v>
      </c>
      <c r="C22" t="s">
        <v>3</v>
      </c>
      <c r="D22">
        <v>52311</v>
      </c>
    </row>
    <row r="23" spans="1:4" x14ac:dyDescent="0.3">
      <c r="A23" t="s">
        <v>10</v>
      </c>
      <c r="B23" t="s">
        <v>14</v>
      </c>
      <c r="C23" t="s">
        <v>4</v>
      </c>
      <c r="D23">
        <v>31955</v>
      </c>
    </row>
    <row r="24" spans="1:4" x14ac:dyDescent="0.3">
      <c r="A24" t="s">
        <v>10</v>
      </c>
      <c r="B24" t="s">
        <v>14</v>
      </c>
      <c r="C24" t="s">
        <v>5</v>
      </c>
      <c r="D24">
        <v>31955</v>
      </c>
    </row>
    <row r="25" spans="1:4" x14ac:dyDescent="0.3">
      <c r="A25" t="s">
        <v>10</v>
      </c>
      <c r="B25" t="s">
        <v>14</v>
      </c>
      <c r="C25" t="s">
        <v>6</v>
      </c>
      <c r="D25">
        <v>31955</v>
      </c>
    </row>
    <row r="26" spans="1:4" x14ac:dyDescent="0.3">
      <c r="A26" t="s">
        <v>10</v>
      </c>
      <c r="B26" t="s">
        <v>14</v>
      </c>
      <c r="C26" t="s">
        <v>7</v>
      </c>
      <c r="D26">
        <v>11598</v>
      </c>
    </row>
    <row r="27" spans="1:4" x14ac:dyDescent="0.3">
      <c r="A27" t="s">
        <v>10</v>
      </c>
      <c r="B27" t="s">
        <v>12</v>
      </c>
      <c r="C27" t="s">
        <v>3</v>
      </c>
      <c r="D27">
        <v>53963</v>
      </c>
    </row>
    <row r="28" spans="1:4" x14ac:dyDescent="0.3">
      <c r="A28" t="s">
        <v>10</v>
      </c>
      <c r="B28" t="s">
        <v>12</v>
      </c>
      <c r="C28" t="s">
        <v>4</v>
      </c>
      <c r="D28">
        <v>65965</v>
      </c>
    </row>
    <row r="29" spans="1:4" x14ac:dyDescent="0.3">
      <c r="A29" t="s">
        <v>10</v>
      </c>
      <c r="B29" t="s">
        <v>12</v>
      </c>
      <c r="C29" t="s">
        <v>5</v>
      </c>
      <c r="D29">
        <v>19989</v>
      </c>
    </row>
    <row r="30" spans="1:4" x14ac:dyDescent="0.3">
      <c r="A30" t="s">
        <v>10</v>
      </c>
      <c r="B30" t="s">
        <v>12</v>
      </c>
      <c r="C30" t="s">
        <v>6</v>
      </c>
      <c r="D30">
        <v>39979</v>
      </c>
    </row>
    <row r="31" spans="1:4" x14ac:dyDescent="0.3">
      <c r="A31" t="s">
        <v>10</v>
      </c>
      <c r="B31" t="s">
        <v>12</v>
      </c>
      <c r="C31" t="s">
        <v>7</v>
      </c>
      <c r="D31">
        <v>19998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V28"/>
  <sheetViews>
    <sheetView zoomScaleNormal="100" workbookViewId="0">
      <selection activeCell="B10" sqref="B10"/>
    </sheetView>
  </sheetViews>
  <sheetFormatPr defaultRowHeight="14.4" x14ac:dyDescent="0.3"/>
  <cols>
    <col min="1" max="1" width="12.5546875" bestFit="1" customWidth="1"/>
    <col min="2" max="2" width="15.6640625" customWidth="1"/>
    <col min="3" max="3" width="2.6640625" customWidth="1"/>
    <col min="4" max="4" width="8.33203125" bestFit="1" customWidth="1"/>
    <col min="5" max="5" width="16.109375" bestFit="1" customWidth="1"/>
    <col min="6" max="6" width="11.33203125" bestFit="1" customWidth="1"/>
    <col min="8" max="8" width="2.109375" customWidth="1"/>
    <col min="9" max="9" width="11.21875" bestFit="1" customWidth="1"/>
    <col min="10" max="10" width="11.77734375" bestFit="1" customWidth="1"/>
    <col min="11" max="12" width="7.77734375" bestFit="1" customWidth="1"/>
    <col min="13" max="13" width="8.77734375" bestFit="1" customWidth="1"/>
    <col min="14" max="14" width="11.33203125" bestFit="1" customWidth="1"/>
    <col min="15" max="15" width="1.44140625" bestFit="1" customWidth="1"/>
    <col min="16" max="16" width="23" customWidth="1"/>
    <col min="17" max="17" width="12.21875" customWidth="1"/>
    <col min="18" max="18" width="9.33203125" customWidth="1"/>
    <col min="19" max="19" width="3.5546875" customWidth="1"/>
    <col min="20" max="20" width="11.109375" customWidth="1"/>
  </cols>
  <sheetData>
    <row r="2" spans="1:22" x14ac:dyDescent="0.3">
      <c r="A2" s="1" t="s">
        <v>11</v>
      </c>
      <c r="B2" s="2"/>
      <c r="C2" s="2"/>
      <c r="D2" s="1" t="s">
        <v>17</v>
      </c>
      <c r="E2" s="2"/>
      <c r="F2" s="2"/>
      <c r="G2" s="2"/>
      <c r="I2" s="1" t="s">
        <v>15</v>
      </c>
      <c r="J2" s="2"/>
      <c r="K2" s="2"/>
      <c r="L2" s="2"/>
    </row>
    <row r="3" spans="1:22" x14ac:dyDescent="0.3">
      <c r="E3" s="8" t="s">
        <v>2</v>
      </c>
      <c r="F3" s="8" t="s">
        <v>19</v>
      </c>
      <c r="G3" s="8" t="s">
        <v>20</v>
      </c>
    </row>
    <row r="4" spans="1:22" x14ac:dyDescent="0.3">
      <c r="A4" s="4" t="s">
        <v>18</v>
      </c>
      <c r="B4" t="s">
        <v>8</v>
      </c>
      <c r="D4" t="s">
        <v>5</v>
      </c>
      <c r="E4" s="27">
        <f>SUMIFS(RawData[Revenue],RawData[Year],$B$5,RawData[Division],$A$5,RawData[Region],$D4)</f>
        <v>43784</v>
      </c>
      <c r="F4" s="27" t="str">
        <f>IF(E4=MAX($E$4:$E$8),E4,"")</f>
        <v/>
      </c>
      <c r="G4" s="7">
        <f>AVERAGE($E$4:$E$8)</f>
        <v>45404</v>
      </c>
      <c r="I4" t="str">
        <f>A5&amp;" Apps Sold"</f>
        <v>Game Apps Sold</v>
      </c>
    </row>
    <row r="5" spans="1:22" x14ac:dyDescent="0.3">
      <c r="A5" s="5" t="s">
        <v>12</v>
      </c>
      <c r="B5" t="s">
        <v>9</v>
      </c>
      <c r="D5" t="s">
        <v>7</v>
      </c>
      <c r="E5" s="27">
        <f>SUMIFS(RawData[Revenue],RawData[Year],$B$5,RawData[Division],$A$5,RawData[Region],$D5)</f>
        <v>49656</v>
      </c>
      <c r="F5" s="27">
        <f t="shared" ref="F5:F9" si="0">IF(E5=MAX($E$4:$E$8),E5,"")</f>
        <v>49656</v>
      </c>
      <c r="G5" s="7">
        <f t="shared" ref="G5:G8" si="1">AVERAGE($E$4:$E$8)</f>
        <v>45404</v>
      </c>
      <c r="I5" s="12" t="str">
        <f>INDEX(D4:D8,MATCH(MIN(E4:E8),E4:E8,0))</f>
        <v>South America</v>
      </c>
      <c r="J5" t="str">
        <f>INDEX(D4:D8,MATCH(MAX(E4:E8),E4:E8,0))</f>
        <v>Australia</v>
      </c>
    </row>
    <row r="6" spans="1:22" x14ac:dyDescent="0.3">
      <c r="D6" t="s">
        <v>6</v>
      </c>
      <c r="E6" s="27">
        <f>SUMIFS(RawData[Revenue],RawData[Year],$B$5,RawData[Division],$A$5,RawData[Region],$D6)</f>
        <v>46336</v>
      </c>
      <c r="F6" s="27" t="str">
        <f t="shared" si="0"/>
        <v/>
      </c>
      <c r="G6" s="7">
        <f t="shared" si="1"/>
        <v>45404</v>
      </c>
      <c r="I6" t="str">
        <f>I5&amp; " bought the least "&amp;$A$5&amp;" Apps"</f>
        <v>South America bought the least Game Apps</v>
      </c>
    </row>
    <row r="7" spans="1:22" x14ac:dyDescent="0.3">
      <c r="D7" t="s">
        <v>3</v>
      </c>
      <c r="E7" s="27">
        <f>SUMIFS(RawData[Revenue],RawData[Year],$B$5,RawData[Division],$A$5,RawData[Region],$D7)</f>
        <v>44675</v>
      </c>
      <c r="F7" s="27" t="str">
        <f t="shared" si="0"/>
        <v/>
      </c>
      <c r="G7" s="7">
        <f t="shared" si="1"/>
        <v>45404</v>
      </c>
      <c r="I7" t="str">
        <f>J5&amp; " bought the most "&amp;$A$5&amp;" Apps"</f>
        <v>Australia bought the most Game Apps</v>
      </c>
    </row>
    <row r="8" spans="1:22" x14ac:dyDescent="0.3">
      <c r="D8" t="s">
        <v>4</v>
      </c>
      <c r="E8" s="27">
        <f>SUMIFS(RawData[Revenue],RawData[Year],$B$5,RawData[Division],$A$5,RawData[Region],$D8)</f>
        <v>42569</v>
      </c>
      <c r="F8" s="27" t="str">
        <f t="shared" si="0"/>
        <v/>
      </c>
      <c r="G8" s="7">
        <f t="shared" si="1"/>
        <v>45404</v>
      </c>
      <c r="P8" s="15"/>
      <c r="Q8" s="20" t="s">
        <v>9</v>
      </c>
      <c r="R8" s="20"/>
      <c r="S8" s="20"/>
      <c r="T8" s="20" t="s">
        <v>10</v>
      </c>
      <c r="U8" s="20"/>
      <c r="V8" s="20"/>
    </row>
    <row r="9" spans="1:22" x14ac:dyDescent="0.3">
      <c r="E9" s="11">
        <f>SUM(E4:E8)</f>
        <v>227020</v>
      </c>
      <c r="F9" t="str">
        <f t="shared" si="0"/>
        <v/>
      </c>
      <c r="I9" s="15"/>
      <c r="J9" s="16"/>
      <c r="P9" s="15"/>
      <c r="Q9" s="15" t="s">
        <v>23</v>
      </c>
      <c r="R9" s="15" t="s">
        <v>24</v>
      </c>
      <c r="S9" s="15" t="s">
        <v>26</v>
      </c>
      <c r="T9" s="15" t="s">
        <v>23</v>
      </c>
      <c r="U9" s="15" t="s">
        <v>24</v>
      </c>
      <c r="V9" s="15" t="s">
        <v>26</v>
      </c>
    </row>
    <row r="10" spans="1:22" x14ac:dyDescent="0.3">
      <c r="A10" s="1" t="s">
        <v>22</v>
      </c>
      <c r="B10" s="2"/>
      <c r="C10" s="2"/>
      <c r="I10" s="1"/>
      <c r="J10" s="2"/>
      <c r="K10" s="2"/>
      <c r="L10" s="2"/>
      <c r="P10" s="17" t="s">
        <v>12</v>
      </c>
      <c r="Q10" s="28">
        <v>49656</v>
      </c>
      <c r="R10" s="18">
        <v>1.483048304830483</v>
      </c>
      <c r="S10" s="19">
        <v>1.483048304830483</v>
      </c>
      <c r="T10" s="28">
        <v>19998</v>
      </c>
      <c r="U10" s="14"/>
      <c r="V10" s="14"/>
    </row>
    <row r="11" spans="1:22" x14ac:dyDescent="0.3">
      <c r="P11" s="17" t="s">
        <v>14</v>
      </c>
      <c r="Q11" s="28">
        <v>29277</v>
      </c>
      <c r="R11" s="18">
        <v>1.524314536989136</v>
      </c>
      <c r="S11" s="19">
        <v>1.524314536989136</v>
      </c>
      <c r="T11" s="28">
        <v>11598</v>
      </c>
      <c r="U11" s="14"/>
      <c r="V11" s="14"/>
    </row>
    <row r="12" spans="1:22" x14ac:dyDescent="0.3">
      <c r="P12" s="17" t="s">
        <v>13</v>
      </c>
      <c r="Q12" s="28">
        <v>34196</v>
      </c>
      <c r="R12" s="18">
        <v>0.1422272696906941</v>
      </c>
      <c r="S12" s="19">
        <v>0.1422272696906941</v>
      </c>
      <c r="T12" s="28">
        <v>29938</v>
      </c>
      <c r="U12" s="14"/>
      <c r="V12" s="14"/>
    </row>
    <row r="13" spans="1:22" x14ac:dyDescent="0.3">
      <c r="P13" s="21" t="s">
        <v>25</v>
      </c>
      <c r="Q13" s="22">
        <v>113129</v>
      </c>
      <c r="R13" s="23">
        <v>0.83847953976663303</v>
      </c>
      <c r="S13" s="24">
        <v>0.83847953976663303</v>
      </c>
      <c r="T13" s="22">
        <v>61534</v>
      </c>
      <c r="U13" s="25"/>
      <c r="V13" s="25"/>
    </row>
    <row r="17" spans="1:14" x14ac:dyDescent="0.3">
      <c r="G17" s="13"/>
    </row>
    <row r="18" spans="1:14" x14ac:dyDescent="0.3">
      <c r="J18" t="s">
        <v>23</v>
      </c>
      <c r="K18" t="s">
        <v>27</v>
      </c>
      <c r="L18" t="s">
        <v>28</v>
      </c>
      <c r="M18" t="s">
        <v>29</v>
      </c>
      <c r="N18" t="s">
        <v>30</v>
      </c>
    </row>
    <row r="19" spans="1:14" x14ac:dyDescent="0.3">
      <c r="I19" s="6" t="s">
        <v>12</v>
      </c>
      <c r="J19" s="27">
        <f>GETPIVOTDATA(" Revenue",Calculation!$P$8,"Year","Current","Division",I19)</f>
        <v>49656</v>
      </c>
      <c r="K19" s="7">
        <f>MIN(J19:J21)/2</f>
        <v>14638.5</v>
      </c>
      <c r="L19" s="7">
        <f>J19-K19-M19</f>
        <v>20379</v>
      </c>
      <c r="M19" s="7">
        <f>MIN(J19:J21)/2</f>
        <v>14638.5</v>
      </c>
      <c r="N19" s="27">
        <f>M19+L19+K19</f>
        <v>49656</v>
      </c>
    </row>
    <row r="20" spans="1:14" x14ac:dyDescent="0.3">
      <c r="I20" s="6" t="s">
        <v>14</v>
      </c>
      <c r="J20" s="27">
        <f>GETPIVOTDATA(" Revenue",Calculation!$P$8,"Year","Current","Division",I20)</f>
        <v>29277</v>
      </c>
      <c r="K20" s="7">
        <f>MIN(J19:J21)/2</f>
        <v>14638.5</v>
      </c>
      <c r="L20" s="7">
        <f t="shared" ref="L20:L21" si="2">J20-K20-M20</f>
        <v>0</v>
      </c>
      <c r="M20" s="7">
        <f>MIN(J19:J21)/2</f>
        <v>14638.5</v>
      </c>
      <c r="N20" s="27">
        <f t="shared" ref="N20:N21" si="3">M20+L20+K20</f>
        <v>29277</v>
      </c>
    </row>
    <row r="21" spans="1:14" x14ac:dyDescent="0.3">
      <c r="I21" s="6" t="s">
        <v>13</v>
      </c>
      <c r="J21" s="27">
        <f>GETPIVOTDATA(" Revenue",Calculation!$P$8,"Year","Current","Division",I21)</f>
        <v>34196</v>
      </c>
      <c r="K21" s="7">
        <f>MIN(J19:J21)/2</f>
        <v>14638.5</v>
      </c>
      <c r="L21" s="7">
        <f t="shared" si="2"/>
        <v>4919</v>
      </c>
      <c r="M21" s="7">
        <f>MIN(J19:J21)/2</f>
        <v>14638.5</v>
      </c>
      <c r="N21" s="27">
        <f t="shared" si="3"/>
        <v>34196</v>
      </c>
    </row>
    <row r="23" spans="1:14" ht="40.950000000000003" customHeight="1" x14ac:dyDescent="0.3"/>
    <row r="24" spans="1:14" x14ac:dyDescent="0.3">
      <c r="A24" s="1" t="s">
        <v>16</v>
      </c>
      <c r="B24" s="2"/>
      <c r="C24" s="2"/>
    </row>
    <row r="26" spans="1:14" ht="77.400000000000006" customHeight="1" x14ac:dyDescent="0.3">
      <c r="A26" s="26" t="s">
        <v>13</v>
      </c>
      <c r="B26" s="9"/>
      <c r="E26">
        <f>Utility</f>
        <v>0</v>
      </c>
    </row>
    <row r="27" spans="1:14" ht="77.400000000000006" customHeight="1" x14ac:dyDescent="0.3">
      <c r="A27" s="26" t="s">
        <v>14</v>
      </c>
      <c r="B27" s="9"/>
    </row>
    <row r="28" spans="1:14" ht="77.400000000000006" customHeight="1" x14ac:dyDescent="0.3">
      <c r="A28" s="26" t="s">
        <v>12</v>
      </c>
      <c r="B28" s="9"/>
    </row>
  </sheetData>
  <phoneticPr fontId="7" type="noConversion"/>
  <pageMargins left="0.7" right="0.7" top="0.75" bottom="0.75" header="0.3" footer="0.3"/>
  <drawing r:id="rId3"/>
  <extLst>
    <ext xmlns:x14="http://schemas.microsoft.com/office/spreadsheetml/2009/9/main" uri="{78C0D931-6437-407d-A8EE-F0AAD7539E65}">
      <x14:conditionalFormattings>
        <x14:conditionalFormatting xmlns:xm="http://schemas.microsoft.com/office/excel/2006/main" pivot="1">
          <x14:cfRule type="iconSet" priority="2" id="{1F122956-8AEF-4FF7-AD7E-7AB2B9B22796}">
            <x14:iconSet iconSet="3Triangles" showValue="0" custom="1">
              <x14:cfvo type="percent">
                <xm:f>0</xm:f>
              </x14:cfvo>
              <x14:cfvo type="num">
                <xm:f>0</xm:f>
              </x14:cfvo>
              <x14:cfvo type="num">
                <xm:f>0</xm:f>
              </x14:cfvo>
              <x14:cfIcon iconSet="3Triangles" iconId="0"/>
              <x14:cfIcon iconSet="NoIcons" iconId="0"/>
              <x14:cfIcon iconSet="3Triangles" iconId="2"/>
            </x14:iconSet>
          </x14:cfRule>
          <xm:sqref>S10:S12 V10:V12</xm:sqref>
        </x14:conditionalFormatting>
        <x14:conditionalFormatting xmlns:xm="http://schemas.microsoft.com/office/excel/2006/main" pivot="1">
          <x14:cfRule type="iconSet" priority="1" id="{56A9650C-471E-43C5-A5BE-B3B30B739C01}">
            <x14:iconSet iconSet="3Triangles" showValue="0" custom="1">
              <x14:cfvo type="percent">
                <xm:f>0</xm:f>
              </x14:cfvo>
              <x14:cfvo type="num">
                <xm:f>0</xm:f>
              </x14:cfvo>
              <x14:cfvo type="num">
                <xm:f>0</xm:f>
              </x14:cfvo>
              <x14:cfIcon iconSet="3Triangles" iconId="0"/>
              <x14:cfIcon iconSet="NoIcons" iconId="0"/>
              <x14:cfIcon iconSet="3Triangles" iconId="2"/>
            </x14:iconSet>
          </x14:cfRule>
          <xm:sqref>S13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71A4B365-9295-4270-AF62-D670550EA851}">
  <ds:schemaRefs>
    <ds:schemaRef ds:uri="http://schemas.microsoft.com/PowerBIAddIn"/>
  </ds:schemaRefs>
</ds:datastoreItem>
</file>

<file path=customXml/itemProps2.xml><?xml version="1.0" encoding="utf-8"?>
<ds:datastoreItem xmlns:ds="http://schemas.openxmlformats.org/officeDocument/2006/customXml" ds:itemID="{F7896004-6D5E-4A3F-939D-7B0031DCD8D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Dashboard</vt:lpstr>
      <vt:lpstr>Data</vt:lpstr>
      <vt:lpstr>Calculation</vt:lpstr>
      <vt:lpstr>Game</vt:lpstr>
      <vt:lpstr>Productivity</vt:lpstr>
      <vt:lpstr>Utility</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This dashboard draft is a part of the online Excel Dashboard course. To find out more, visit www.xelplus.com.</dc:description>
  <cp:lastModifiedBy>Emmanuel Idowu</cp:lastModifiedBy>
  <dcterms:created xsi:type="dcterms:W3CDTF">2017-02-08T16:00:27Z</dcterms:created>
  <dcterms:modified xsi:type="dcterms:W3CDTF">2024-09-11T15:26:48Z</dcterms:modified>
</cp:coreProperties>
</file>